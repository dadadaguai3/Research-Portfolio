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Github\Local_Debt_Database\"/>
    </mc:Choice>
  </mc:AlternateContent>
  <xr:revisionPtr revIDLastSave="0" documentId="13_ncr:1_{C911A891-E188-4A53-AF73-5FA7CD8EFD69}" xr6:coauthVersionLast="47" xr6:coauthVersionMax="47" xr10:uidLastSave="{00000000-0000-0000-0000-000000000000}"/>
  <bookViews>
    <workbookView xWindow="4452" yWindow="3120" windowWidth="23040" windowHeight="1212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P2" i="1"/>
  <c r="R2" i="1"/>
  <c r="S2" i="1"/>
  <c r="O3" i="1"/>
  <c r="P3" i="1"/>
  <c r="R3" i="1"/>
  <c r="S3" i="1"/>
  <c r="O4" i="1"/>
  <c r="P4" i="1"/>
  <c r="R4" i="1"/>
  <c r="S4" i="1"/>
  <c r="O5" i="1"/>
  <c r="P5" i="1"/>
  <c r="R5" i="1"/>
  <c r="S5" i="1"/>
  <c r="O6" i="1"/>
  <c r="P6" i="1"/>
  <c r="R6" i="1"/>
  <c r="S6" i="1"/>
  <c r="O7" i="1"/>
  <c r="P7" i="1"/>
  <c r="R7" i="1"/>
  <c r="S7" i="1"/>
  <c r="O8" i="1"/>
  <c r="P8" i="1"/>
  <c r="R8" i="1"/>
  <c r="S8" i="1"/>
  <c r="O9" i="1"/>
  <c r="P9" i="1"/>
  <c r="R9" i="1"/>
  <c r="S9" i="1"/>
  <c r="O10" i="1"/>
  <c r="P10" i="1"/>
  <c r="R10" i="1"/>
  <c r="S10" i="1"/>
  <c r="O11" i="1"/>
  <c r="P11" i="1"/>
  <c r="R11" i="1"/>
  <c r="S11" i="1"/>
  <c r="O12" i="1"/>
  <c r="P12" i="1"/>
  <c r="R12" i="1"/>
  <c r="S12" i="1"/>
  <c r="O13" i="1"/>
  <c r="P13" i="1"/>
  <c r="R13" i="1"/>
  <c r="S13" i="1"/>
  <c r="O14" i="1"/>
  <c r="P14" i="1"/>
  <c r="R14" i="1"/>
  <c r="S14" i="1"/>
  <c r="O15" i="1"/>
  <c r="P15" i="1"/>
  <c r="R15" i="1"/>
  <c r="S15" i="1"/>
  <c r="O16" i="1"/>
  <c r="P16" i="1"/>
  <c r="R16" i="1"/>
  <c r="S16" i="1"/>
  <c r="O17" i="1"/>
  <c r="P17" i="1"/>
  <c r="R17" i="1"/>
  <c r="S17" i="1"/>
  <c r="O18" i="1"/>
  <c r="P18" i="1"/>
  <c r="R18" i="1"/>
  <c r="S18" i="1"/>
  <c r="O19" i="1"/>
  <c r="P19" i="1"/>
  <c r="R19" i="1"/>
  <c r="S19" i="1"/>
  <c r="O20" i="1"/>
  <c r="P20" i="1"/>
  <c r="R20" i="1"/>
  <c r="S20" i="1"/>
  <c r="O21" i="1"/>
  <c r="P21" i="1"/>
  <c r="R21" i="1"/>
  <c r="S21" i="1"/>
  <c r="O22" i="1"/>
  <c r="P22" i="1"/>
  <c r="R22" i="1"/>
  <c r="S22" i="1"/>
  <c r="O23" i="1"/>
  <c r="P23" i="1"/>
  <c r="R23" i="1"/>
  <c r="S23" i="1"/>
  <c r="O24" i="1"/>
  <c r="P24" i="1"/>
  <c r="R24" i="1"/>
  <c r="S24" i="1"/>
  <c r="O25" i="1"/>
  <c r="P25" i="1"/>
  <c r="R25" i="1"/>
  <c r="S25" i="1"/>
  <c r="O26" i="1"/>
  <c r="P26" i="1"/>
  <c r="R26" i="1"/>
  <c r="S26" i="1"/>
  <c r="O27" i="1"/>
  <c r="P27" i="1"/>
  <c r="R27" i="1"/>
  <c r="S27" i="1"/>
  <c r="O28" i="1"/>
  <c r="P28" i="1"/>
  <c r="R28" i="1"/>
  <c r="S28" i="1"/>
  <c r="O29" i="1"/>
  <c r="P29" i="1"/>
  <c r="R29" i="1"/>
  <c r="S29" i="1"/>
  <c r="O30" i="1"/>
  <c r="P30" i="1"/>
  <c r="R30" i="1"/>
  <c r="S30" i="1"/>
  <c r="O31" i="1"/>
  <c r="P31" i="1"/>
  <c r="R31" i="1"/>
  <c r="S31" i="1"/>
  <c r="O32" i="1"/>
  <c r="P32" i="1"/>
  <c r="R32" i="1"/>
  <c r="S32" i="1"/>
  <c r="O33" i="1"/>
  <c r="P33" i="1"/>
  <c r="R33" i="1"/>
  <c r="S33" i="1"/>
  <c r="O34" i="1"/>
  <c r="P34" i="1"/>
  <c r="R34" i="1"/>
  <c r="S34" i="1"/>
  <c r="O35" i="1"/>
  <c r="P35" i="1"/>
  <c r="R35" i="1"/>
  <c r="S35" i="1"/>
  <c r="O36" i="1"/>
  <c r="P36" i="1"/>
  <c r="R36" i="1"/>
  <c r="S36" i="1"/>
  <c r="O37" i="1"/>
  <c r="P37" i="1"/>
  <c r="R37" i="1"/>
  <c r="S37" i="1"/>
  <c r="O38" i="1"/>
  <c r="P38" i="1"/>
  <c r="R38" i="1"/>
  <c r="S38" i="1"/>
  <c r="O39" i="1"/>
  <c r="P39" i="1"/>
  <c r="R39" i="1"/>
  <c r="S39" i="1"/>
  <c r="O40" i="1"/>
  <c r="P40" i="1"/>
  <c r="R40" i="1"/>
  <c r="S40" i="1"/>
  <c r="O41" i="1"/>
  <c r="P41" i="1"/>
  <c r="R41" i="1"/>
  <c r="S41" i="1"/>
  <c r="O42" i="1"/>
  <c r="P42" i="1"/>
  <c r="R42" i="1"/>
  <c r="S42" i="1"/>
  <c r="O43" i="1"/>
  <c r="P43" i="1"/>
  <c r="R43" i="1"/>
  <c r="S43" i="1"/>
  <c r="O44" i="1"/>
  <c r="P44" i="1"/>
  <c r="R44" i="1"/>
  <c r="S44" i="1"/>
  <c r="O45" i="1"/>
  <c r="P45" i="1"/>
  <c r="R45" i="1"/>
  <c r="S45" i="1"/>
  <c r="O46" i="1"/>
  <c r="P46" i="1"/>
  <c r="R46" i="1"/>
  <c r="S46" i="1"/>
  <c r="O47" i="1"/>
  <c r="P47" i="1"/>
  <c r="R47" i="1"/>
  <c r="S47" i="1"/>
  <c r="O48" i="1"/>
  <c r="P48" i="1"/>
  <c r="R48" i="1"/>
  <c r="S48" i="1"/>
  <c r="O49" i="1"/>
  <c r="P49" i="1"/>
  <c r="R49" i="1"/>
  <c r="S49" i="1"/>
  <c r="O50" i="1"/>
  <c r="P50" i="1"/>
  <c r="R50" i="1"/>
  <c r="S50" i="1"/>
  <c r="O51" i="1"/>
  <c r="P51" i="1"/>
  <c r="R51" i="1"/>
  <c r="S51" i="1"/>
  <c r="O52" i="1"/>
  <c r="P52" i="1"/>
  <c r="R52" i="1"/>
  <c r="S52" i="1"/>
  <c r="O53" i="1"/>
  <c r="P53" i="1"/>
  <c r="R53" i="1"/>
  <c r="S53" i="1"/>
  <c r="O54" i="1"/>
  <c r="P54" i="1"/>
  <c r="R54" i="1"/>
  <c r="S54" i="1"/>
  <c r="O55" i="1"/>
  <c r="P55" i="1"/>
  <c r="R55" i="1"/>
  <c r="S55" i="1"/>
  <c r="O56" i="1"/>
  <c r="P56" i="1"/>
  <c r="R56" i="1"/>
  <c r="S56" i="1"/>
  <c r="O57" i="1"/>
  <c r="P57" i="1"/>
  <c r="R57" i="1"/>
  <c r="S57" i="1"/>
  <c r="O58" i="1"/>
  <c r="P58" i="1"/>
  <c r="R58" i="1"/>
  <c r="S58" i="1"/>
  <c r="O59" i="1"/>
  <c r="P59" i="1"/>
  <c r="R59" i="1"/>
  <c r="S59" i="1"/>
  <c r="O60" i="1"/>
  <c r="P60" i="1"/>
  <c r="R60" i="1"/>
  <c r="S60" i="1"/>
  <c r="O61" i="1"/>
  <c r="P61" i="1"/>
  <c r="R61" i="1"/>
  <c r="S61" i="1"/>
  <c r="O62" i="1"/>
  <c r="P62" i="1"/>
  <c r="R62" i="1"/>
  <c r="S62" i="1"/>
  <c r="O63" i="1"/>
  <c r="P63" i="1"/>
  <c r="R63" i="1"/>
  <c r="S63" i="1"/>
  <c r="O64" i="1"/>
  <c r="P64" i="1"/>
  <c r="R64" i="1"/>
  <c r="S64" i="1"/>
  <c r="O65" i="1"/>
  <c r="P65" i="1"/>
  <c r="R65" i="1"/>
  <c r="S65" i="1"/>
  <c r="O66" i="1"/>
  <c r="P66" i="1"/>
  <c r="R66" i="1"/>
  <c r="S66" i="1"/>
  <c r="O67" i="1"/>
  <c r="P67" i="1"/>
  <c r="R67" i="1"/>
  <c r="S67" i="1"/>
  <c r="O68" i="1"/>
  <c r="P68" i="1"/>
  <c r="R68" i="1"/>
  <c r="S68" i="1"/>
  <c r="O69" i="1"/>
  <c r="P69" i="1"/>
  <c r="R69" i="1"/>
  <c r="S69" i="1"/>
  <c r="O70" i="1"/>
  <c r="P70" i="1"/>
  <c r="R70" i="1"/>
  <c r="S70" i="1"/>
  <c r="O71" i="1"/>
  <c r="P71" i="1"/>
  <c r="R71" i="1"/>
  <c r="S71" i="1"/>
  <c r="O72" i="1"/>
  <c r="P72" i="1"/>
  <c r="R72" i="1"/>
  <c r="S72" i="1"/>
  <c r="O73" i="1"/>
  <c r="P73" i="1"/>
  <c r="R73" i="1"/>
  <c r="S73" i="1"/>
  <c r="O74" i="1"/>
  <c r="P74" i="1"/>
  <c r="R74" i="1"/>
  <c r="S74" i="1"/>
  <c r="O75" i="1"/>
  <c r="P75" i="1"/>
  <c r="R75" i="1"/>
  <c r="S75" i="1"/>
  <c r="O76" i="1"/>
  <c r="P76" i="1"/>
  <c r="R76" i="1"/>
  <c r="S76" i="1"/>
  <c r="O77" i="1"/>
  <c r="P77" i="1"/>
  <c r="R77" i="1"/>
  <c r="S77" i="1"/>
  <c r="O78" i="1"/>
  <c r="P78" i="1"/>
  <c r="R78" i="1"/>
  <c r="S78" i="1"/>
  <c r="O79" i="1"/>
  <c r="P79" i="1"/>
  <c r="R79" i="1"/>
  <c r="S79" i="1"/>
  <c r="O80" i="1"/>
  <c r="P80" i="1"/>
  <c r="R80" i="1"/>
  <c r="S80" i="1"/>
  <c r="O81" i="1"/>
  <c r="P81" i="1"/>
  <c r="R81" i="1"/>
  <c r="S81" i="1"/>
  <c r="O82" i="1"/>
  <c r="P82" i="1"/>
  <c r="R82" i="1"/>
  <c r="S82" i="1"/>
  <c r="O83" i="1"/>
  <c r="P83" i="1"/>
  <c r="R83" i="1"/>
  <c r="S83" i="1"/>
  <c r="O84" i="1"/>
  <c r="P84" i="1"/>
  <c r="R84" i="1"/>
  <c r="S84" i="1"/>
  <c r="O85" i="1"/>
  <c r="P85" i="1"/>
  <c r="R85" i="1"/>
  <c r="S85" i="1"/>
  <c r="O86" i="1"/>
  <c r="P86" i="1"/>
  <c r="R86" i="1"/>
  <c r="S86" i="1"/>
  <c r="O87" i="1"/>
  <c r="P87" i="1"/>
  <c r="R87" i="1"/>
  <c r="S87" i="1"/>
  <c r="O88" i="1"/>
  <c r="P88" i="1"/>
  <c r="R88" i="1"/>
  <c r="S88" i="1"/>
  <c r="O89" i="1"/>
  <c r="P89" i="1"/>
  <c r="R89" i="1"/>
  <c r="S89" i="1"/>
  <c r="O90" i="1"/>
  <c r="P90" i="1"/>
  <c r="R90" i="1"/>
  <c r="S90" i="1"/>
  <c r="O91" i="1"/>
  <c r="P91" i="1"/>
  <c r="R91" i="1"/>
  <c r="S91" i="1"/>
  <c r="O92" i="1"/>
  <c r="P92" i="1"/>
  <c r="R92" i="1"/>
  <c r="S92" i="1"/>
  <c r="O93" i="1"/>
  <c r="P93" i="1"/>
  <c r="R93" i="1"/>
  <c r="S93" i="1"/>
  <c r="O94" i="1"/>
  <c r="P94" i="1"/>
  <c r="R94" i="1"/>
  <c r="S94" i="1"/>
  <c r="O95" i="1"/>
  <c r="P95" i="1"/>
  <c r="R95" i="1"/>
  <c r="S95" i="1"/>
  <c r="O96" i="1"/>
  <c r="P96" i="1"/>
  <c r="R96" i="1"/>
  <c r="S96" i="1"/>
  <c r="O97" i="1"/>
  <c r="P97" i="1"/>
  <c r="R97" i="1"/>
  <c r="S97" i="1"/>
  <c r="O98" i="1"/>
  <c r="P98" i="1"/>
  <c r="R98" i="1"/>
  <c r="S98" i="1"/>
  <c r="O99" i="1"/>
  <c r="P99" i="1"/>
  <c r="R99" i="1"/>
  <c r="S99" i="1"/>
  <c r="O100" i="1"/>
  <c r="P100" i="1"/>
  <c r="R100" i="1"/>
  <c r="S100" i="1"/>
  <c r="O101" i="1"/>
  <c r="P101" i="1"/>
  <c r="R101" i="1"/>
  <c r="S101" i="1"/>
  <c r="O102" i="1"/>
  <c r="P102" i="1"/>
  <c r="R102" i="1"/>
  <c r="S102" i="1"/>
  <c r="O103" i="1"/>
  <c r="P103" i="1"/>
  <c r="R103" i="1"/>
  <c r="S103" i="1"/>
  <c r="O104" i="1"/>
  <c r="P104" i="1"/>
  <c r="R104" i="1"/>
  <c r="S104" i="1"/>
  <c r="O105" i="1"/>
  <c r="P105" i="1"/>
  <c r="R105" i="1"/>
  <c r="S105" i="1"/>
  <c r="O106" i="1"/>
  <c r="P106" i="1"/>
  <c r="R106" i="1"/>
  <c r="S106" i="1"/>
  <c r="O107" i="1"/>
  <c r="P107" i="1"/>
  <c r="R107" i="1"/>
  <c r="S107" i="1"/>
  <c r="O108" i="1"/>
  <c r="P108" i="1"/>
  <c r="R108" i="1"/>
  <c r="S108" i="1"/>
  <c r="O109" i="1"/>
  <c r="P109" i="1"/>
  <c r="R109" i="1"/>
  <c r="S109" i="1"/>
  <c r="O110" i="1"/>
  <c r="P110" i="1"/>
  <c r="R110" i="1"/>
  <c r="S110" i="1"/>
  <c r="O111" i="1"/>
  <c r="P111" i="1"/>
  <c r="R111" i="1"/>
  <c r="S111" i="1"/>
  <c r="O112" i="1"/>
  <c r="P112" i="1"/>
  <c r="R112" i="1"/>
  <c r="S112" i="1"/>
  <c r="O113" i="1"/>
  <c r="P113" i="1"/>
  <c r="R113" i="1"/>
  <c r="S113" i="1"/>
  <c r="O114" i="1"/>
  <c r="P114" i="1"/>
  <c r="R114" i="1"/>
  <c r="S114" i="1"/>
  <c r="O115" i="1"/>
  <c r="P115" i="1"/>
  <c r="R115" i="1"/>
  <c r="S115" i="1"/>
  <c r="O116" i="1"/>
  <c r="P116" i="1"/>
  <c r="R116" i="1"/>
  <c r="S116" i="1"/>
  <c r="O117" i="1"/>
  <c r="P117" i="1"/>
  <c r="R117" i="1"/>
  <c r="S117" i="1"/>
  <c r="O118" i="1"/>
  <c r="P118" i="1"/>
  <c r="R118" i="1"/>
  <c r="S118" i="1"/>
  <c r="O119" i="1"/>
  <c r="P119" i="1"/>
  <c r="R119" i="1"/>
  <c r="S119" i="1"/>
  <c r="O120" i="1"/>
  <c r="P120" i="1"/>
  <c r="R120" i="1"/>
  <c r="S120" i="1"/>
  <c r="O121" i="1"/>
  <c r="P121" i="1"/>
  <c r="R121" i="1"/>
  <c r="S121" i="1"/>
  <c r="O122" i="1"/>
  <c r="P122" i="1"/>
  <c r="R122" i="1"/>
  <c r="S122" i="1"/>
  <c r="O123" i="1"/>
  <c r="P123" i="1"/>
  <c r="R123" i="1"/>
  <c r="S123" i="1"/>
  <c r="O124" i="1"/>
  <c r="P124" i="1"/>
  <c r="R124" i="1"/>
  <c r="S124" i="1"/>
  <c r="O125" i="1"/>
  <c r="P125" i="1"/>
  <c r="R125" i="1"/>
  <c r="S125" i="1"/>
  <c r="O126" i="1"/>
  <c r="P126" i="1"/>
  <c r="R126" i="1"/>
  <c r="S126" i="1"/>
  <c r="O127" i="1"/>
  <c r="P127" i="1"/>
  <c r="R127" i="1"/>
  <c r="S127" i="1"/>
  <c r="O128" i="1"/>
  <c r="P128" i="1"/>
  <c r="R128" i="1"/>
  <c r="S128" i="1"/>
  <c r="O129" i="1"/>
  <c r="P129" i="1"/>
  <c r="R129" i="1"/>
  <c r="S129" i="1"/>
  <c r="O130" i="1"/>
  <c r="P130" i="1"/>
  <c r="R130" i="1"/>
  <c r="S130" i="1"/>
  <c r="O131" i="1"/>
  <c r="P131" i="1"/>
  <c r="R131" i="1"/>
  <c r="S131" i="1"/>
  <c r="O132" i="1"/>
  <c r="P132" i="1"/>
  <c r="R132" i="1"/>
  <c r="S132" i="1"/>
  <c r="O133" i="1"/>
  <c r="P133" i="1"/>
  <c r="R133" i="1"/>
  <c r="S133" i="1"/>
  <c r="O134" i="1"/>
  <c r="P134" i="1"/>
  <c r="R134" i="1"/>
  <c r="S134" i="1"/>
  <c r="O135" i="1"/>
  <c r="P135" i="1"/>
  <c r="R135" i="1"/>
  <c r="S135" i="1"/>
  <c r="O136" i="1"/>
  <c r="P136" i="1"/>
  <c r="R136" i="1"/>
  <c r="S136" i="1"/>
  <c r="O137" i="1"/>
  <c r="P137" i="1"/>
  <c r="R137" i="1"/>
  <c r="S137" i="1"/>
  <c r="O138" i="1"/>
  <c r="P138" i="1"/>
  <c r="R138" i="1"/>
  <c r="S138" i="1"/>
  <c r="O139" i="1"/>
  <c r="P139" i="1"/>
  <c r="R139" i="1"/>
  <c r="S139" i="1"/>
  <c r="O140" i="1"/>
  <c r="P140" i="1"/>
  <c r="R140" i="1"/>
  <c r="S140" i="1"/>
  <c r="O141" i="1"/>
  <c r="P141" i="1"/>
  <c r="R141" i="1"/>
  <c r="S141" i="1"/>
  <c r="O142" i="1"/>
  <c r="P142" i="1"/>
  <c r="R142" i="1"/>
  <c r="S142" i="1"/>
  <c r="O143" i="1"/>
  <c r="P143" i="1"/>
  <c r="R143" i="1"/>
  <c r="S143" i="1"/>
  <c r="O144" i="1"/>
  <c r="P144" i="1"/>
  <c r="R144" i="1"/>
  <c r="S144" i="1"/>
  <c r="O145" i="1"/>
  <c r="P145" i="1"/>
  <c r="R145" i="1"/>
  <c r="S145" i="1"/>
  <c r="O146" i="1"/>
  <c r="P146" i="1"/>
  <c r="R146" i="1"/>
  <c r="S146" i="1"/>
  <c r="O147" i="1"/>
  <c r="P147" i="1"/>
  <c r="R147" i="1"/>
  <c r="S147" i="1"/>
  <c r="O148" i="1"/>
  <c r="P148" i="1"/>
  <c r="R148" i="1"/>
  <c r="S148" i="1"/>
  <c r="O149" i="1"/>
  <c r="P149" i="1"/>
  <c r="R149" i="1"/>
  <c r="S149" i="1"/>
</calcChain>
</file>

<file path=xl/sharedStrings.xml><?xml version="1.0" encoding="utf-8"?>
<sst xmlns="http://schemas.openxmlformats.org/spreadsheetml/2006/main" count="1966" uniqueCount="487">
  <si>
    <t>新疆维吾尔自治区</t>
  </si>
  <si>
    <t>2024年</t>
  </si>
  <si>
    <t>2024年至2034年</t>
  </si>
  <si>
    <t>2024年至2024年</t>
  </si>
  <si>
    <t>新建建筑面积40-60㎡保障性租赁租房500套，总建筑面积25000㎡。及其水、电、气、消防等附属设施。本建设项目的提出符合库尔勒经济技术开发区总体规划。通过加大库尔勒经济技术开发区保障性租赁住房建设的力度，为进城务工人员、新就业大学生等新市民、青年人群众解决住房问题，改善人居环境，维护社会和谐稳定，形成优越的投资环境，促进库尔勒经济技术开发区社会经济的发展，从而带动城市经济的持续稳定发展和社会进步意义重大。</t>
  </si>
  <si>
    <t>保障性租赁住房</t>
  </si>
  <si>
    <t>2.35</t>
  </si>
  <si>
    <t>0.70</t>
  </si>
  <si>
    <t>0.02</t>
  </si>
  <si>
    <t>0.72</t>
  </si>
  <si>
    <t>开发区</t>
  </si>
  <si>
    <t>库尔勒经济技术开发区规划建设局</t>
  </si>
  <si>
    <t>库尔勒经济技术开发区保障性租赁住房项目</t>
  </si>
  <si>
    <t>2024年新疆维吾尔自治区政府专项债券（三十六期）</t>
  </si>
  <si>
    <t>2024年新疆维吾尔自治区政府专项债券（三十二期）</t>
  </si>
  <si>
    <t>墨玉县</t>
  </si>
  <si>
    <t>和田地区</t>
  </si>
  <si>
    <t>拟建67473平方米及附属设施设备。拟建67473平方米及附属设施设备。拟建67473平方米及附属设施设备。拟建67473平方米及附属设施设备。拟建67473平方米及附属设施设备。拟建67473平方米及附属设施设备。</t>
  </si>
  <si>
    <t>34.65</t>
  </si>
  <si>
    <t>1.90</t>
  </si>
  <si>
    <t>建设</t>
  </si>
  <si>
    <t>墨玉县建设局</t>
  </si>
  <si>
    <t>和田地区墨玉县保障性住房及配套基础设施建设项目（二期)</t>
  </si>
  <si>
    <t>建筑面积4.3万平方米，700套。及附属配套设施等。建筑面积4.3万平方米，700套。及附属配套设施等。建筑面积4.3万平方米，700套。及附属配套设施等。建筑面积4.3万平方米，700套。及附属配套设施等。</t>
  </si>
  <si>
    <t>3.03</t>
  </si>
  <si>
    <t>1.20</t>
  </si>
  <si>
    <t>1.60</t>
  </si>
  <si>
    <t>和田地区墨玉县保障性住房及配套基础设施建设项目</t>
  </si>
  <si>
    <t>巴里坤哈萨克自治县</t>
  </si>
  <si>
    <t>哈密市</t>
  </si>
  <si>
    <t>新建保障性租赁住房105套，建筑面积6300㎡及附属配套，4.5km供热管道等。</t>
  </si>
  <si>
    <t>0.30</t>
  </si>
  <si>
    <t>0.10</t>
  </si>
  <si>
    <t>巴里坤县建设局</t>
  </si>
  <si>
    <t>巴里坤县西部循环经济产业园生活区保障性租赁住房建设项目</t>
  </si>
  <si>
    <t>巴楚县</t>
  </si>
  <si>
    <t>喀什地区</t>
  </si>
  <si>
    <t>2024年至2025年</t>
  </si>
  <si>
    <t>新建供水管线4621米，排水管线4839米，供热管线4338米，燃气管线4505米，电力4500米，道路20公里，公共厕所20座，配套相关附属设施。项目总投资12000万元，其中申请专项债券资金8000万元，其他资金4000万元。项目建设单位：巴楚县住房和城乡建设局。</t>
  </si>
  <si>
    <t>2.07</t>
  </si>
  <si>
    <t>巴楚县城乡建设局</t>
  </si>
  <si>
    <t>喀什地区巴楚县2024年保障性住房外配套基础设施建设项目</t>
  </si>
  <si>
    <t>2024年新疆维吾尔自治区政府专项债券（四十五期）</t>
  </si>
  <si>
    <t>新建保障性住房6栋，配套楼4栋，地下车库1个，共11个单体，总建筑面积为84825.28平方米。配套楼建筑面积为1483.44平方米，地下车库建筑面积24835.21平方米；出地面楼梯间、竖井等建筑面积236.17平方米，配套建设相关附属设置。</t>
  </si>
  <si>
    <t>9.02</t>
  </si>
  <si>
    <t>1.30</t>
  </si>
  <si>
    <t>0.14</t>
  </si>
  <si>
    <t>哈密市住房和城乡建设局</t>
  </si>
  <si>
    <t>哈密市丽园街道宝丰片区保障性租赁住房项目</t>
  </si>
  <si>
    <t>2024年新疆维吾尔自治区政府专项债券（二十八期）</t>
  </si>
  <si>
    <t>经济技术开发区</t>
  </si>
  <si>
    <t>乌鲁木齐市</t>
  </si>
  <si>
    <t>2023年至2036年</t>
  </si>
  <si>
    <t>2023年至2025年</t>
  </si>
  <si>
    <t>建设用地面积55.14亩，总建筑面积87647.61平方米，其中地下面积24534.32平方米。新建保障性租赁住房面积55511.91平方米、保障性配套楼2400.03平方米、公共服务配套用房及公共配套设施5201.35平方米。</t>
  </si>
  <si>
    <t>2.00</t>
  </si>
  <si>
    <t>3.25</t>
  </si>
  <si>
    <t>乌鲁木齐经济技术开发区（乌鲁木齐市头屯河区）建设局（交通局、水务局、人民防空办公室）</t>
  </si>
  <si>
    <t>乌鲁木齐经济技术开发区（头屯河区）工业服务产业园配套项目—（一期）保障性租赁住房项目</t>
  </si>
  <si>
    <t>2024年新疆维吾尔自治区政府专项债券（十期）</t>
  </si>
  <si>
    <t>2024年新疆维吾尔自治区政府专项债券（十五期）</t>
  </si>
  <si>
    <t>沙依巴克区</t>
  </si>
  <si>
    <t>2022年至2036年</t>
  </si>
  <si>
    <t>2022年至2026年</t>
  </si>
  <si>
    <t>该项目位于乌鲁木齐市沙依巴克区规划红柳泉路以南、规划仓德路以东，总用地面积80207平方米，其中住宅12栋、幼儿园1栋、商业2栋、立体车库1栋、人防地下车库1栋、配套服务设施1栋,新建2875套保障性租赁住房。</t>
  </si>
  <si>
    <t>20.11</t>
  </si>
  <si>
    <t>3.00</t>
  </si>
  <si>
    <t>0.35</t>
  </si>
  <si>
    <t>3.50</t>
  </si>
  <si>
    <t>人民政府</t>
  </si>
  <si>
    <t>乌鲁木齐市住房保障和房产管理局</t>
  </si>
  <si>
    <t>城南保障性租赁住房项目</t>
  </si>
  <si>
    <t>岳普湖县</t>
  </si>
  <si>
    <t>2022年至2037年</t>
  </si>
  <si>
    <t>2022年至2024年</t>
  </si>
  <si>
    <t>建设规模为5500平方米，建设内容为新建保障性住房72套，及配套给排水，供热，供暖，道路硬化，绿化，硬化，电力，围墙，门卫室，配电室等附属设施。建设规模为5500平方米，建设内容为新建保障性住房72套，及配套给排水，供热，供暖，道路硬化，绿化，硬化，电力，围墙，门卫室，配电室等附属设施。</t>
  </si>
  <si>
    <t>0.05</t>
  </si>
  <si>
    <t>0.15</t>
  </si>
  <si>
    <t>岳普湖县住房和城乡建设局</t>
  </si>
  <si>
    <t>岳普湖县2022年保障性租赁住房建设项目</t>
  </si>
  <si>
    <t>2024年新疆维吾尔自治区政府专项债券（三十八期）</t>
  </si>
  <si>
    <t>新建公共租赁住房300套及配套道路、供水、排水、供热、绿化、亮化、停车场等附属设施。新建公共租赁住房300套及配套道路、供水、排水、供热、绿化、亮化、停车场等附属设施。新建公共租赁住房300套及配套道路、供水、排水、供热、绿化、亮化、停车场等附属设施。</t>
  </si>
  <si>
    <t>0.53</t>
  </si>
  <si>
    <t>0.24</t>
  </si>
  <si>
    <t>喀什经济开发区城北转化加工区岳普湖公租房及配套基础设施建设项目</t>
  </si>
  <si>
    <t>策勒县</t>
  </si>
  <si>
    <t>2023年至2038年</t>
  </si>
  <si>
    <t>2023年至2024年</t>
  </si>
  <si>
    <t>新建保障性公共租赁住房1012套，总建筑面积44784.9平方米；其中2栋地上12层、2栋地上13层.工业园区公租房：本区总建筑面积22392.45平米，共建设公租房506套;1#公租房总建筑面积11635.46平方米，建设公租房263套。项目为十三层建筑，建筑高度49.20米，室内外高差0.6米。本项目建筑为二类公共建筑；设计使用年限50年；建筑耐火等级为一级；屋面防水等级Ⅰ级；抗震设防烈度7度；结构类型为框剪结构，基础采用筏板基础。2#公租房总建筑面积10756.99平方米，建设公租房243套。项目为十二层建筑，建筑高度45.60米，室内外高差0.6米。本项目建筑为二类公共建筑；设计使用年限50年；建筑耐火等级为一级；屋面防水等级Ⅰ级；抗震设防烈度7度；结构类型为框剪结构，基础采用筏板基础。（2）县城公租房：本区总建筑面积22392.45平米，共建设公租房506套；1#公租房总建筑面积11635.46平方米，建设公租房263套。项目为十三层建筑，建筑高度49.20米，室内外高差0.6米。本项目建筑为二类公共建筑；设计使用年限50年；建筑耐火等级为一级；屋面防水等级Ⅰ级；抗震设防烈度7度；结构类型为框剪结构，基础采用筏板基础。2#公租房总建筑面积10756.99平方米，建设公租房243套。项目为十二层建筑，建筑高度45.60米，室内外高差0.6米。本项目建筑为二类公共建筑；设计使用年限50年；建筑耐火等级为一级；屋面防水等级Ⅰ级；抗震设防烈度7度；结构类型为框剪结构，基础采用筏板基础。</t>
  </si>
  <si>
    <t>1.00</t>
  </si>
  <si>
    <t>策勒县建设局</t>
  </si>
  <si>
    <t>策勒县2021年公共租赁住房建设项目</t>
  </si>
  <si>
    <t>2024年新疆维吾尔自治区政府专项债券（十二期）</t>
  </si>
  <si>
    <t>2020年至2039年</t>
  </si>
  <si>
    <t>2020年至2024年</t>
  </si>
  <si>
    <t>建设用地面积57,454.30平方米；总建筑面积185,407.30平方米，其中：地上建筑面积为172,018.90平方米，地下建筑面积为13,388.40平方米；规划9栋住宅楼、2栋门卫室；共建设公租房3,400套，建筑面积为169,000.80平方米。包括室外给水消防、排水、供热、供电、小区监控、安防、场地和二期配电设备等工程。</t>
  </si>
  <si>
    <t>19.89</t>
  </si>
  <si>
    <t>6.30</t>
  </si>
  <si>
    <t>8.59</t>
  </si>
  <si>
    <t>春和雅苑公租房（原十二五规划廉租房）二期项目及配套设施</t>
  </si>
  <si>
    <t>2022年至2040年</t>
  </si>
  <si>
    <t>2022年至2025年</t>
  </si>
  <si>
    <t>新疆乌鲁木齐“山水和苑”保障性租赁住房项目建设2181套保障性租赁住房，计容建筑总面积152670.5平方米，建设2181套保障性租赁住房。项目收入来源于项目自身收入。主要包括公租房租赁收入、车位租赁收入、物业服务收入等部分组成</t>
  </si>
  <si>
    <t>9.35</t>
  </si>
  <si>
    <t>3.30</t>
  </si>
  <si>
    <t>“山水和苑”保障性租赁住房项目</t>
  </si>
  <si>
    <t>姚安县</t>
  </si>
  <si>
    <t>楚雄彝族自治州</t>
  </si>
  <si>
    <t>云南省</t>
  </si>
  <si>
    <t>2022年</t>
  </si>
  <si>
    <t>2022年至2032年</t>
  </si>
  <si>
    <t>2022年至2023年</t>
  </si>
  <si>
    <t>在姚安县城民族中学片区新建保障性租赁住房100套，建筑面积7000平方米，产权属于政府。建设配套基础设施：道路硬化、室外给排水及消防工程、电力电信、照明及绿化工程。进一步解决低收入人群住房安全和进城务工住房问题，保障社会和谐稳定。</t>
  </si>
  <si>
    <t>姚安县住房和城乡建设局</t>
  </si>
  <si>
    <t>姚安县保障性租赁住房建设项目</t>
  </si>
  <si>
    <t>2022年云南省社会事业专项债券（三期）——2022年云南省政府专项债券（十九期）</t>
  </si>
  <si>
    <t>盘龙区</t>
  </si>
  <si>
    <t>昆明市</t>
  </si>
  <si>
    <t>2021年至2039年</t>
  </si>
  <si>
    <t>2021年至2024年</t>
  </si>
  <si>
    <t>项目用地面积59552.78㎡（约89.32亩），总建筑面积511785.39㎡，项目内容由主体工程和基础配套设施组成。主体工程包括：新建保障性租赁住房256392.70㎡，共计4552套，其中loft公寓3019套，平层公寓1533套，建筑面积70㎡以上的974套占21%，建筑面积70㎡以下的3578套占79%。新建地上配套商业服务设施用房建筑面积为96147.27㎡，地下配套商业服务设施用房3972.00㎡。基础配套设施包括小区内的道路硬化21732.92㎡、室外绿化18959㎡、供水管网1348m、排水管网7640m，供电管网1600m、燃气管网4754.2m，场地内管线迁改工程、外立面灯光亮化工程、电源引入及配电室设备、供水工程等，以及小区的公共卫生间（含无障碍卫生间）建筑面积324.12㎡、生鲜超市建筑面积2887.1㎡等公共服务设施，以及与小区直接相关需配建的道路工程6072.12㎡，配建停车库建筑面积152386.32㎡（设置机动车停车位车位2847个，非机动车停车位7110个）。</t>
  </si>
  <si>
    <t>盘龙区住房和城乡建设局</t>
  </si>
  <si>
    <t>昆明市北部山水新区租赁型居住产品及配套商业设施项目</t>
  </si>
  <si>
    <t>2022年云南省市政基础设施专项债券（二期）——2022年云南省政府专项债券（十三期）</t>
  </si>
  <si>
    <t>呈贡区</t>
  </si>
  <si>
    <t>2023年</t>
  </si>
  <si>
    <t>2022年至2042年</t>
  </si>
  <si>
    <t>主要内容：滇池明珠广场保障性租赁住房项目位于呈贡区乌龙街道办事处辖区，彩云南路与宝珠街交叉口。项目总用地面积为13544平方米，总建筑面积112501平方米，其中，地上81487平方米，地下31014平方米。主要建设保障性租赁住房50499平方米（742套）、裙楼配套商业30987平方米、地下停车场、园林绿化以及其他室外配套附属工程等。项目估算总投资102406万元。预期收益经济效益：本项目预计债券发行期限为10年，可实现的运营收入主要为保障性租赁住房出租收入、商业配套出租收入、物业管理费；地下停车收入，非机动车停车收入等，预计债券存续期内可实现项目净收入为151855.64万元。社会效益：项目建成后，可以达到解决来自新市民、青年人（包括各行业产业工人、新业态就业人员、教育及医疗卫生等行业新就业大学生）等群体的住房困难的设计目标，能够改善民生发展问题，提升居民生活水平，促进社会和谐稳定发展。发展。</t>
  </si>
  <si>
    <t>呈贡区住房和城乡建设局</t>
  </si>
  <si>
    <t>滇池明珠广场保障性租赁住房项目</t>
  </si>
  <si>
    <t>2023年云南省市政基础设施专项债券（一期）——2023年云南省政府专项债券（五期）</t>
  </si>
  <si>
    <t>2024年至2033年</t>
  </si>
  <si>
    <t>云南楚雄高新区2022年保障性租赁住房建设项目规划总用地面积为15796.02m，合约23.69亩。本次拟新建保障性租赁住房705套，总建筑面积为60996.48m，含5栋高层住宅建筑及2栋门卫室，配套室外附属设施工程;新建地下停车库10490.7㎡，钢筋混凝土框架剪力墙结构，含地下停车位266个。</t>
  </si>
  <si>
    <t>706楚雄高新技术产业开发区安全环保和建设管理局</t>
  </si>
  <si>
    <t>楚雄高新技术产业开发区安全环保和建设管理局</t>
  </si>
  <si>
    <t>云南楚雄高新区2022年保障性租赁住房建设项目</t>
  </si>
  <si>
    <t>2024年云南省其他项目收益专项债券（七期）——2024年云南省政府专项债券（十三期)</t>
  </si>
  <si>
    <t>维西傈僳族自治县</t>
  </si>
  <si>
    <t>迪庆藏族自治州</t>
  </si>
  <si>
    <t>2025年至2035年</t>
  </si>
  <si>
    <t>维西县2021年保障性住房项目总用地面积33126.92㎡（约49.7亩），总建筑面积为121396.61㎡，其中地上总建筑面积为102320.76㎡，地下总建筑面积为19075.85㎡，建筑占地面积为12144.46㎡，容积率为2.08，建筑密度为24.7%，绿地率为35.1%。建设住宅户数为1386户，住宅建筑面积96811平方米，商业</t>
  </si>
  <si>
    <t>120维西傈僳族自治县住房和城乡建设局</t>
  </si>
  <si>
    <t>维西傈僳族自治县住房和城乡建设局</t>
  </si>
  <si>
    <t>维西县2021年保障性租赁住房建设项目</t>
  </si>
  <si>
    <t>2024年云南省其他项目收益专项债券（六期）——2024年云南省政府专项债券（十二期)</t>
  </si>
  <si>
    <t>楚雄市</t>
  </si>
  <si>
    <t>2025年至2045年</t>
  </si>
  <si>
    <t>项目建设地位于楚雄市东南新城北侧，东临东南新城环卫基地，南临东升路，西临辰弘加油站，北临现状山体。项目总用地面积10000.09m2(约15亩),新建保障性租赁住房，并配建商业及公共服务设施，总建筑面积为36732.97m2。市保障性租赁住房建设项目（东升路地块）位于楚雄市城区，起点</t>
  </si>
  <si>
    <t>120楚雄市住房和城乡建设局</t>
  </si>
  <si>
    <t>楚雄市住房和城乡建设局</t>
  </si>
  <si>
    <t>楚雄市保障性租赁住房建设项目（东升路地块）</t>
  </si>
  <si>
    <t>富阳区</t>
  </si>
  <si>
    <t>杭州市</t>
  </si>
  <si>
    <t>浙江省</t>
  </si>
  <si>
    <t>2021年</t>
  </si>
  <si>
    <t>2020年至2037年</t>
  </si>
  <si>
    <t>2018年至2022年</t>
  </si>
  <si>
    <t>总建筑面积54251平方米，其中：地下建筑面积16300平方米，地上建筑面积37951平方米。</t>
  </si>
  <si>
    <t>杭州市富阳区住房和城乡建设局</t>
  </si>
  <si>
    <t>东洲12号地块公共租赁住房配建工程</t>
  </si>
  <si>
    <t>2021年浙江省其他项目收益专项债券（四期）--2021年浙江省政府专项债券（四期）</t>
  </si>
  <si>
    <t>2021年浙江省其他项目收益专项债券（十四期）--2021年浙江省政府专项债券（二十五期）</t>
  </si>
  <si>
    <t>2020年至2041年</t>
  </si>
  <si>
    <t>2020年至2023年</t>
  </si>
  <si>
    <t>总建筑面积43869平方米，其中地上建筑面积为25479平方米；地下建筑面积18390平方米。</t>
  </si>
  <si>
    <t>杭州富春湾新城杭黄高铁片区一平方公里综合开发项目人才公寓项目</t>
  </si>
  <si>
    <t>2021年浙江省其他项目收益专项债券（五期）--2021年浙江省政府专项债券（五期）</t>
  </si>
  <si>
    <t>2020年至2042年</t>
  </si>
  <si>
    <t>建筑总面积63630平方米，其中地下室建筑面积15030平方米，地上建筑面积48600平方米（公租房410854平方米，配套用房面积7515平方米）。</t>
  </si>
  <si>
    <t>富阳区高桥公共租赁房工程</t>
  </si>
  <si>
    <t>2021年至2042年</t>
  </si>
  <si>
    <t>2021年至2023年</t>
  </si>
  <si>
    <t>建设内容：政策处理、人才租赁房建造、驳坎等边坡治理及配套附属设施，小区道路、绿化工程。总建筑面积55325平方米，其中地上建筑面积33502平方米（包括住宅面积32186平方米，物业管理用房106平方米，物业用房190平方米，垃圾房80平方米，活动用房400平方米，其他386平方米，尾气井154平方米），地下建筑面积21823平方米。</t>
  </si>
  <si>
    <t>东洲人才租赁房项目</t>
  </si>
  <si>
    <t>2021年浙江省其他项目收益专项债券（二十六期）--2021年浙江省政府专项债券（五十期）</t>
  </si>
  <si>
    <t>衢江区</t>
  </si>
  <si>
    <t>衢州市</t>
  </si>
  <si>
    <t>该项目占地面积约25亩，新建公寓8幢，总用地面积15240平方米，总建筑面积约40857平方米（含地下室12257平米），其中商业2100平方米，住宅26500平方米，并完成小区室内及室外配套设施建设等。</t>
  </si>
  <si>
    <t>衢江区廿里镇人民政府</t>
  </si>
  <si>
    <t>廿里镇长租公寓项目（佘塘头片区）</t>
  </si>
  <si>
    <t>2021年浙江省其他项目收益专项债券（十八期）--2021年浙江省政府专项债券（三十三期）</t>
  </si>
  <si>
    <t>2020年至2043年</t>
  </si>
  <si>
    <t>总建筑面积50365平方米，其中地上建筑面积31242平方米（住宅建筑面积28590平方米，配套公建、管井及其他面积2652平方米），地下建筑面积19123平方米。</t>
  </si>
  <si>
    <t>银湖人才房项目</t>
  </si>
  <si>
    <t>温岭市</t>
  </si>
  <si>
    <t>台州市</t>
  </si>
  <si>
    <t>2021年至2043年</t>
  </si>
  <si>
    <t>项目用地面积17985.5平方米（合26.98亩），拟建5幢框剪结构的商住楼（住宅楼）。新建总面积47335.32平方米。其中地上面积36490.8平方米，包括住宅面积34560平方米（公租房648套），商业用房面积1930.8平方米；地下建筑面积10844.52平方米。项目并配套实施相应的室外工程。</t>
  </si>
  <si>
    <t>国有资产管理</t>
  </si>
  <si>
    <t>城建综合开发有限公司</t>
  </si>
  <si>
    <t>温岭市合岙地块保障性住房(康和佳园）二期工程</t>
  </si>
  <si>
    <t>总建筑面积182393平方米，其中地上建筑面积104695平方米，地下建筑面积77698平方米。</t>
  </si>
  <si>
    <t>灵桥产业区块人才公寓（一期)</t>
  </si>
  <si>
    <t>总建筑面积136569平方米，其中地上建筑面积91399平方米（住宅建筑面积85843平方米，配套公函建面积5556平方米），地下建筑面积45170平方米。</t>
  </si>
  <si>
    <t>东洲人才房项目</t>
  </si>
  <si>
    <t>海宁市</t>
  </si>
  <si>
    <t>嘉兴市</t>
  </si>
  <si>
    <t>2022年至2022年</t>
  </si>
  <si>
    <t>本项目位于硖石街道长丰路南侧、文苑路西侧，江南大道北侧、海宁大道西侧，钱江路南侧、碧云路东侧。项目主要对珑府、明珠大厦、紫园等配建人才公寓进行提升改造，涉及改造总建筑面积约38916平方米，并完善相关配套设施。</t>
  </si>
  <si>
    <t>海宁市城投集团资产经营管理有限公司</t>
  </si>
  <si>
    <t>2022年度人才公寓提升改造项目</t>
  </si>
  <si>
    <t>2022年浙江省其他项目收益专项债券（十二期）--2022年浙江省政府专项债券（十七期）</t>
  </si>
  <si>
    <t>婺城区</t>
  </si>
  <si>
    <t>金华市</t>
  </si>
  <si>
    <t>本项目建设内容主要包括保障性租赁住房、配套公共空间建设及其他配套设施用房，地块周边道路及绿化工程等，总投资249097.03万元|。项目建设总用地面积约132377平方米(折合约198亩),总建筑面积35.05万平方米，其中地上计容建筑面积约23.83万平方米，地下建筑面积11,22万平方米</t>
  </si>
  <si>
    <t>金华市婺城区汤溪镇人民政府</t>
  </si>
  <si>
    <t>金华经济技术开发区金西保障性租赁住房及配套基础设施新建项目</t>
  </si>
  <si>
    <t>2022年浙江省其他项目收益专项债券（十八期）--2022年浙江省政府专项债券（二十九期）</t>
  </si>
  <si>
    <t>建设内容：政策处理、人才租赁房建造、驳坎等边坡治理及配套附属设施，小区道路、绿化工程。总建筑面积55325平方米，其中地上建筑面积33502平方米(包括住宅面积32186平方米，物业管理用房106平方米，物业用房190平方米，垃圾房80平方米，活动用房400平方米，其他386平方米，尾气井154平方米),地下建筑面积21823平方米。</t>
  </si>
  <si>
    <t>2022年浙江省其他项目收益专项债券（三期）--2022年浙江省政府专项债券（五期）</t>
  </si>
  <si>
    <t>该项目占地面积约25亩，新建公寓8幢，总用地面积15240平方米，总建筑面积约40857平方米(含地下室12257平米),其中商业2100平方米，住宅26500平方米，并完成小区室内及室外配套设施建设等。</t>
  </si>
  <si>
    <t>总建筑面积50365平方米，其中地上建筑面积31242平方米(住宅建筑面积28590平方米，配套公建、管井及其他面积2652平方米),地下建筑面积19123平方米。包括住宅、配套公建用房、地下室等。总建筑面积51858平方米，其中地上建筑面积为31242平方米，地下建筑面积20616平方米。容积率1.50,建筑密度30%,绿化率30%。</t>
  </si>
  <si>
    <t>淳安县</t>
  </si>
  <si>
    <t>2022年至2043年</t>
  </si>
  <si>
    <t>项目总用地约46.24亩，总建筑面积约74679.04平方米，其中地上建筑面积52974.43平方米，地下建筑面积21704.61平方米。主要建设由9栋高层住宅、1栋6班幼儿园及配套设施。总建筑套数909套。</t>
  </si>
  <si>
    <t>淳安县保障性住房建设有限公司</t>
  </si>
  <si>
    <t>庄天岭区块二期保障性租赁住房项目</t>
  </si>
  <si>
    <t>2022年浙江省其他项目收益专项债券（十九期）--2022年浙江省政府专项债券（三十期）</t>
  </si>
  <si>
    <t>2022年浙江省其他项目收益专项债券（二十九期）--2022年浙江省政府专项债券（五十期）</t>
  </si>
  <si>
    <t>柯城区</t>
  </si>
  <si>
    <t>该项目总建筑面积约107500平方米，其中地上建筑面积约77500平方米，地下建筑面积约30000平方米，建筑占地面积约8200平方米；容积率1.66,建筑密度17%;配置地下机动车停车位约800个，地上机动车停车位约100个：及其他相应的配套设施建设</t>
  </si>
  <si>
    <t>衢州市柯城区建设投资发展有限公司</t>
  </si>
  <si>
    <t>柯城区有礼青年社区项目</t>
  </si>
  <si>
    <t>2021年至2044年</t>
  </si>
  <si>
    <t>包括住宅、配套公建用房、地下室等。总建筑面积182393平方米，其中地上建筑面积为104695平方米，地下建筑面积77698平方米。容积率2.5,建筑密度22%,绿化率35%。项目收入来源于房屋、车位租赁及配套商业用房销售。灵桥产业区块人才公寓(一期)项目项目位于富春湾新城，用地总面积1.1078公顷。</t>
  </si>
  <si>
    <t>灵桥产业区块人才公寓（一期）</t>
  </si>
  <si>
    <t>缙云县</t>
  </si>
  <si>
    <t>丽水市</t>
  </si>
  <si>
    <t>2022年至2044年</t>
  </si>
  <si>
    <t>本项目总用地面积约97亩，项目总建筑面积160374平方米，其中地上建筑面积129334平方米，地下建筑面积31040,项目总投资估算70216万元，其中工程建设费用56390万元，工程建设其他费用12036万元(含土地划拨费用8730万元),预备费1790万元。</t>
  </si>
  <si>
    <t>缙云县住房和城乡建设局</t>
  </si>
  <si>
    <t>缙云县保障房工程</t>
  </si>
  <si>
    <t>临安区</t>
  </si>
  <si>
    <t>项目总用地面积44532平方米，总建筑面积为111251.2平方米，其中地上建筑面积71251.20平方米，地下建筑面积4000平方米，总户数828户，机动车停车位共900个，非机动车停车位1430个。</t>
  </si>
  <si>
    <t>其他部门</t>
  </si>
  <si>
    <t>杭州市临安区国瑞置业有限公司</t>
  </si>
  <si>
    <t>临安区锦南新城人才房二期（公共租赁房）项目</t>
  </si>
  <si>
    <t>玉环市</t>
  </si>
  <si>
    <t>包含了保障房项目建设和保障房地块东南侧废弃矿山边坡治理，总用地面积57595平方米，其中保障房项目建设用地面积24404平方米，山体边坡治理代征用地面积33191平方米。总建筑面积41506平方米，其中地下建筑面积3090平方米。建设9幢保障用房及一间配电房，总套数672套，绿地率25%。</t>
  </si>
  <si>
    <t>玉环市住房和城乡建设局</t>
  </si>
  <si>
    <t>坎门街道保障房二期建设工程</t>
  </si>
  <si>
    <t>包含了保障房项目建设和保障房地块东南侧废弃矿山边坡治理，总用地面积57595平方米，其中保障房项目建设用地面积24404平方米，山体边坡治理代征用地面积33191平方米。总建筑面积41506平方米，其中地下建筑面积3090平方米。建设幢保障用房及一间配电房，总套数672套，绿地率25%。</t>
  </si>
  <si>
    <t>2022年浙江省其他项目收益专项债券（十三期）--2022年浙江省政府专项债券（十八期）</t>
  </si>
  <si>
    <t>舟山市</t>
  </si>
  <si>
    <t>2022年至2045年</t>
  </si>
  <si>
    <t>由4幢多层宿舍楼、3幢高层宿舍楼、1幢多层社区服务用房等辅房及配套道路组成，总用地面积约33905.68平方米，总建筑面积约58848平方米，其中地上建筑面积约38698平方米，地下建筑面积约20150平方米，容积率1.14，建筑密度27.94%，绿地率27.04%。由4幢多层宿舍楼、3幢高层宿舍楼、1幢多层社区服务用房等辅房及配套道路组成，总用地面积约33905.68平方米，总建筑面积约58848平方米，其中地上建筑面积约38698平方米，地下建筑面积约20150平方米，容积率1.14，建筑密度27.94%，绿地率27.04%。</t>
  </si>
  <si>
    <t>舟山市海涂围垦综合开发有限公司</t>
  </si>
  <si>
    <t>舟山高新技术产业园区新港邻里中心项目（二期）</t>
  </si>
  <si>
    <t>武义县</t>
  </si>
  <si>
    <t>主要建设内容及规模为：总用地面积26130平方米，总建筑面积64877平方米，其中(地下室面积12617平方米),拟建保障性租赁住房，配套建设居家养老用房、社区服务用房、物业服务用房、门卫、消防控制室、垃圾收集房、配电房、开闭所、尾气井等用房和配套附属工程及周边配套市政设施。</t>
  </si>
  <si>
    <t>浙江武义城市建设投资集团有限公司</t>
  </si>
  <si>
    <t>武义县保障性租赁住房（开发区项目）及周边配套工程</t>
  </si>
  <si>
    <t>本项目建成后约有1312套保障性租赁用房，可以解决2000人的住房需求。蒋马山背(西侧地块)保障性用房及配套园建设内容主要包括标准厂房和保障性住宅。总用地面积约33,108平方米(合50亩),总建筑面积100,438平方米，其中地上建筑面积72,834平方米，地下建筑面积25,200平方米，容积率2.2,保障性租赁用房528套，机动车停车位630个。蒋马山背(北侧地块)保障性用房及配套园建设内容主要包括保障性住宅和其他配套用房。总用地面积约6,639平方米(合10亩),建筑面积20,447平方米，其中地上建筑面积14,605平方米，地下建筑面积5,842平方米，容积率2.2,保障性租赁用房336套，机动车停车位150个。秋滨片区保障性租赁用房及配套设施项目--乐乐保障性用房地块建设内容主要包括保障性租赁住房和配套服务用房。总用地面积约16,340平方米(合24.5亩),总建筑面积54,203平方米，其中地上建筑面积35,933平方米(包括保障性租赁住宅24,352平方米、综合楼7,532平方米和配套服务用房4,049平方米),地下建筑面积18,270平方米，容积率2.2,保障性租赁用房448套，机动车停车位451个。</t>
  </si>
  <si>
    <t>金华金开产业发展集团有限公司</t>
  </si>
  <si>
    <t>秋滨片区保障性租赁用房及配套设施项目</t>
  </si>
  <si>
    <t>金东区</t>
  </si>
  <si>
    <t>总用地面积约30亩，总建筑面积57640平方米。总用地面积约30亩，总建筑面积57640平方米。总用地面积约30亩，总建筑面积57640平方米。总用地面积约30亩，总建筑面积57640平方米。总用地面积约30亩，总建筑面积57640平方米。</t>
  </si>
  <si>
    <t>金东区住建局</t>
  </si>
  <si>
    <t>江岭区块保障性租赁住房项目</t>
  </si>
  <si>
    <t>总用地面积约50亩，总建筑面积120975.4平方米。总用地面积约50亩，总建筑面积120975.4平方米。总用地面积约50亩，总建筑面积120975.4平方米。总用地面积约50亩，总建筑面积120975.4平方米。总用地面积约50亩，总建筑面积120975.4平方米。总用地面积约50亩，总建筑面积120975.4平方米。</t>
  </si>
  <si>
    <t>东孝贸创区保障性租赁用房建设项目</t>
  </si>
  <si>
    <t>2022年至2046年</t>
  </si>
  <si>
    <t>主要由大麦屿港城融合安居工程建设项目、大麦屿创业创新中心建设项目、大麦屿街道医养中心建设项目、配套基础设施建设项目四个子项目构成，规划总用地面积约22.7公顷，总建筑面积约15.8万平方米，新建道路约3.6米，改造道路约3.6千米。</t>
  </si>
  <si>
    <t>玉环市大麦屿街道办事处（本级）</t>
  </si>
  <si>
    <t>大麦屿港城融合安居工程及配套设施建设项目</t>
  </si>
  <si>
    <t>临平区</t>
  </si>
  <si>
    <t>2020年至2034年</t>
  </si>
  <si>
    <t>拟建设的临平新城星桥公租房项目，总建筑面积约105217㎡，其中地上建筑面积59580㎡，地下建筑面积44363㎡，架空层面积1274.5㎡。建设内容主要包括8幢高层住宅、配套公建用房（含物业用房、社区用房及配套公建等）、地下车库、景观绿化以及室外配套设施等工程。</t>
  </si>
  <si>
    <t>国有资产监督管理委员会</t>
  </si>
  <si>
    <t>杭州临平城市建设集团有限公司</t>
  </si>
  <si>
    <t>临平新城星桥公租房项目</t>
  </si>
  <si>
    <t>2023年浙江省其他项目收益专项债券（三十二期）--2023年浙江省政府专项债券（五十三期）</t>
  </si>
  <si>
    <t>余杭区</t>
  </si>
  <si>
    <t>2022年至2035年</t>
  </si>
  <si>
    <t>瓶窑镇公租房一期项目总建筑面积约192,270.00平方米，其中地上建筑面积约119,450.00平方米，地下建筑面积约72,820.00平方米，建筑占地面积10,900.00平方米，容积率2.4，建筑密度22%，绿地率35.0%，建筑高度52.00米。拟建约1608户，设置机动车位约1465个（地下停车位1445个，地上停车位20个），非机动车位3216个。</t>
  </si>
  <si>
    <t>杭州余杭苕溪城市建设有限公司</t>
  </si>
  <si>
    <t>瓶窑镇公租房一期项目</t>
  </si>
  <si>
    <t>2023年浙江省其他项目收益专项债券（二十五期）--2023年浙江省政府专项债券（三十九期）</t>
  </si>
  <si>
    <t>2023年浙江省其他项目收益专项债券（七期）--2023年浙江省政府专项债券（十四期）</t>
  </si>
  <si>
    <t>2022年至2038年</t>
  </si>
  <si>
    <t>东至李家阁渠，西至闲林港路，北至云睦街，南至闲林东路，总用地面积17062平方米（约25.6亩），总建筑面积约5.4万方，其中地上建筑面积约3.4万方，地下建筑面积约2万方。主要建设内容含公租房、配套公建、停车库和地下设备用房、道路及绿化等。</t>
  </si>
  <si>
    <t>杭州余杭闲林城市建设有限公司</t>
  </si>
  <si>
    <t>闲林街道民丰05地块公租房工程</t>
  </si>
  <si>
    <t>2023年浙江省其他项目收益专项债券（二十六期）--2023年浙江省政府专项债券（四十期）</t>
  </si>
  <si>
    <t>2023年浙江省其他项目收益专项债券（八期）--2023年浙江省政府专项债券（十五期）</t>
  </si>
  <si>
    <t>新昌县</t>
  </si>
  <si>
    <t>绍兴市</t>
  </si>
  <si>
    <t>2023年至2039年</t>
  </si>
  <si>
    <t>2023年至2023年</t>
  </si>
  <si>
    <t>2023年新昌县老旧小区改造项目位于新昌县，涉及18个老旧小区，共计建筑面积694000平方米，主要改造内容有消防安防设施、室外工程、建筑外立面整治、道路工程、小区整体配套服务提升等。此次新昌老旧小区改造项目按照基础、满需求、提品质”的原则，以人民美好生活向往为中心，以人本化、生态化、数字化三大价值结合实际情况进行实施改造。</t>
  </si>
  <si>
    <t>新昌县城市建设投资发展有限公司</t>
  </si>
  <si>
    <t>2023年新昌县老旧小区改造项目</t>
  </si>
  <si>
    <t>2022年至2039年</t>
  </si>
  <si>
    <t>钱开区仁康路以东、树东路以南，南，</t>
  </si>
  <si>
    <t>杭州钱江开发区投资发展有限公司</t>
  </si>
  <si>
    <t>钱江经济开发区树东路以南公租房</t>
  </si>
  <si>
    <t>2023年浙江省其他项目收益专项债券（三十四期）--2023年浙江省政府专项债券（五十五期）</t>
  </si>
  <si>
    <t>总建筑面积50365平方米，其中地上建筑面积31242平方米（住宅建筑面积28590平方米，配套公建、管井及其他面积2652平方米），地下建筑面积19123平方米。包括住宅、配套公建用房、地下室等。总建筑面积51858平方米，其中地上建筑面积为31242平方米，地下建筑面积20616平方米。容积率1.50，建筑密度30%，绿化率30%。</t>
  </si>
  <si>
    <t>2023年浙江省其他项目收益专项债券（二十一期）--2023年浙江省政府专项债券（三十三期）</t>
  </si>
  <si>
    <t>2023年浙江省其他项目收益专项债券（五期）--2023年浙江省政府专项债券（八期）</t>
  </si>
  <si>
    <t>2023年浙江省其他项目收益专项债券（九期）--2023年浙江省政府专项债券（十六期）</t>
  </si>
  <si>
    <t>包括住宅、配套公建用房、地下室等。总建筑面积182393平方米，其中地上建筑面积为104695平方米，地下建筑面积77698平方米。容积率2.5，建筑密度22%，绿化率35%。项目收入来源于房屋、车位租赁及配套商业用房销售。灵桥产业区块人才公寓（一期）项目项目位于富春湾新城，用地总面积1.1078公顷。</t>
  </si>
  <si>
    <t>项目建设用地面积为13334平方米，总建筑面积约56000平方米，地上建筑面积约30000平方米（公租房面积27585平方米，配套用房面积2415平方米），地下建筑面积约26000平方米，建筑占地面积3334平方米，容积率2.25，建筑密度25%，绿地率35.0%。</t>
  </si>
  <si>
    <t>杭州富阳新登小城镇投资建设有限公司</t>
  </si>
  <si>
    <t>新登公租房</t>
  </si>
  <si>
    <t>良渚新城杜甫区块公共租赁房项目总建筑面积约60,432.00平方米，其中地上建筑面积约38,281.00平方米，地下建筑面积约22,151.00平方米，建筑占地面积2,055.00平方米，容积率2.80，建筑密度15%，绿地率35%。拟建约654户，设置机动车位约540个（地下停车位67个，地上停车位473个），非机动车位1466个。</t>
  </si>
  <si>
    <t>杭州农副物流管理有限公司</t>
  </si>
  <si>
    <t>良渚新城杜甫区块公共租赁房</t>
  </si>
  <si>
    <t>2023年浙江省其他项目收益专项债券（二十七期）--2023年浙江省政府专项债券（四十一期）</t>
  </si>
  <si>
    <t>项目建设用地面积为13334平方米，总建筑面积约55900平方米，地上建筑面积约29900平方米（公租房面积27585平方米，配套用房面积2315平方米），地下建筑面积约26000平方米，建筑占地面积2933平方米，容积率2.24，建筑密度22%，绿地率35.0%。</t>
  </si>
  <si>
    <t>杭州富阳场口小城镇投资建设有限公司</t>
  </si>
  <si>
    <t>场口公租房</t>
  </si>
  <si>
    <t>项目建设用地面积为13334平面积2315平方米），地下</t>
  </si>
  <si>
    <t>西湖区</t>
  </si>
  <si>
    <t>双桥单元XH0201-09地块公36000平方米</t>
  </si>
  <si>
    <t>杭州西湖城市建设投资集团有限公司</t>
  </si>
  <si>
    <t>双桥单元XH0201-09地块公共租赁房项目</t>
  </si>
  <si>
    <t>双桥单元XH0201-09地块公共租赁房项目建设公共租赁住房。总建筑面积69926平方米，其中地上建筑面积39740平方米，包括住宅36000平方米、配套公建3740平方米；地下建筑面积30186平方米，包括地下停车库（含设备用房）。</t>
  </si>
  <si>
    <t>项目总用地面积44532平方米，总建筑面积为111251.2平方米，其中地上建筑面积71251.20平方米，地下建筑面积40000平方米，总户数828户，机动车停车位共900个，非机动车停车位1430个。</t>
  </si>
  <si>
    <t>临安区锦南新城人才房二期(公共租赁房）项目</t>
  </si>
  <si>
    <t>项目总用地面积44532平方米，</t>
  </si>
  <si>
    <t>主要建设内容含公租房、配套公建、停车库和地下设备用房、道路及绿化等。总用地面积约36885平方米（55.33亩），总建筑面积约12.5万平方米，其中地上建筑面积约7.5万平方米，地下建筑面积约5万平方米。</t>
  </si>
  <si>
    <t>杭州市余杭区人民政府中泰街道办事处</t>
  </si>
  <si>
    <t>余杭区中泰街道鲍家畈公租房项目</t>
  </si>
  <si>
    <t>总建筑面积约60,432.00平方米，其中地上建筑面积约38,281.00平方米，地下建筑面积约22,151.00平方米，建筑占地面积2,055.00平方米，容积率2.80，建筑密度15%，绿地率35%。拟建约654户，设置机动车位约540个（地下停车位67个，地上停车位473个），非机动车位1466个。</t>
  </si>
  <si>
    <t>三支路公租房</t>
  </si>
  <si>
    <t>2023年浙江省其他项目收益专项债券（十五期）--2023年浙江省政府专项债券（二十四期）</t>
  </si>
  <si>
    <t>主要建设内容含公租房、配套</t>
  </si>
  <si>
    <t>余杭区中泰街道清水湾公租房项目</t>
  </si>
  <si>
    <t>杭州未来科技城建设有限公司</t>
  </si>
  <si>
    <t>未来科技城公租房二期(YH02-1C-24地块）项目</t>
  </si>
  <si>
    <t>钱塘区</t>
  </si>
  <si>
    <t>主要包括公共租赁房、配套公建、平战结合人防地下停车库和设备用房、道路广场、室外活动场地、景观绿化及其他配套设施等。总建筑面积约184,050.00㎡，地上建筑面积约106,360.00㎡（其中公共租赁房建筑面积103,535.00㎡，配套公建建筑面积2,825.00㎡），地下建筑面积约77,690.00㎡。</t>
  </si>
  <si>
    <t>杭州钱塘新区城市发展集团有限公司</t>
  </si>
  <si>
    <t>前进片区公共租赁房（一）</t>
  </si>
  <si>
    <t>本次设计南至崇杭街，北至前村街，西至沾桥港，东至沾驾桥路，总建筑面积约140511平方米（不含架空），其中地上建筑面积约83511平方米，地下建筑面积约57000平方米。主要建设内容包括住宅、配套公建、地下停车库、设备用房、道路及绿化工程等。</t>
  </si>
  <si>
    <t>杭州临平新农村建设有限公司</t>
  </si>
  <si>
    <t>崇贤新城D-4公租房项目</t>
  </si>
  <si>
    <t>2022年至2047年</t>
  </si>
  <si>
    <t>2022年至2027年</t>
  </si>
  <si>
    <t>住宅建筑、配套公建房、物业管理用房、物业经营用房、养老用房、社区服务用房、地下车库，以及室外绿化及小区内道路广场、配套幼儿园、南侧配套道路以及精装修等。总用地面积40803平方米，总建筑面积129750平方米，地上建筑面积87250平方米。拟建公租房1110套。配建幼儿园一个，南侧16米宽260米长道路一条。</t>
  </si>
  <si>
    <t>杭州市临安区经济适用住房开发有限公司</t>
  </si>
  <si>
    <t>临安区公共租赁房双林区块建设项目</t>
  </si>
  <si>
    <t>2024年至2032年</t>
  </si>
  <si>
    <t>该项目建设内容包括住宅、公建配套、地下室及室外配套等。项目总建筑面积66600平方米，其中地上计容建筑面积42507平方米（其中：住宅建筑面积38386平方米，配套商业用房建筑面积1632平方米，配套社区用房建筑面积1842平方米，地下室出面60平方米，计容架空层面积587平方米。），地下室建筑面积24093平方米（设置地下机动车位共401个），项目容积率1.45，建筑密度30%，绿地率31.4%。住宅总户数368户</t>
  </si>
  <si>
    <t>杭州富阳城市建设投资集团有限公司</t>
  </si>
  <si>
    <t>鹿山街道春江轻纺区块安置房</t>
  </si>
  <si>
    <t>2024年浙江省其他项目收益专项债券（三十四期）--2024年浙江省政府专项债券（四十三期）</t>
  </si>
  <si>
    <t>本项目建设内容主要包括保障性租赁住房、配套公共空间建设及其他配套设施用房，地块周边道路及绿化工程等，总投资249097.03万元。项目建设总用地面积约132377平方米（折合约198亩），总建筑面积35.05万平方米，其中地上计容建筑面积约23.83万平方米，地下建筑面积11.22万平方米</t>
  </si>
  <si>
    <t>2024年浙江省其他项目收益专项债券（十三期）--2024年浙江省政府专项债券（十六期）</t>
  </si>
  <si>
    <t>2024年浙江省其他项目收益专项债券（二十六期）--2024年浙江省政府专项债券（三十二期）</t>
  </si>
  <si>
    <t>2024年浙江省其他项目收益专项债券（十六期）--2024年浙江省政府专项债券（二十期）</t>
  </si>
  <si>
    <t>目总用地面积约9878平方米，总建筑面积29000平方米，其中地上建筑面积约21700平方米，地下建筑面积约7300平方米。拟建设内容包括房屋、给排水工程、绿化、室外附属等配套工程。项目的实施，可促进嘉兴科技城企业发展，提高经济实力，进一步优化嘉兴科技城打造营商环境。</t>
  </si>
  <si>
    <t>嘉兴科技城投资发展集团有限公司</t>
  </si>
  <si>
    <t>微电子产业园产业工人长租公寓</t>
  </si>
  <si>
    <t>2024年浙江省其他项目收益专项债券（十四期）--2024年浙江省政府专项债券（十七期）</t>
  </si>
  <si>
    <t>项目总用地约24142平方米，拟建总建筑面积约78000平方米，其中地上建筑面积约58000平方米，地下建筑面积约20000平方米。拟建设内容包括房屋、给排水工程、绿化、室外附属等配套工程。项目的实施，可促进嘉兴科技城企业发展，提高经济实力，进一步优化嘉兴科技城打造营商环境。</t>
  </si>
  <si>
    <t>嘉兴科技城核心区产业工人长租公寓</t>
  </si>
  <si>
    <t>2024年浙江省其他项目收益专项债券（十七期）--2024年浙江省政府专项债券（二十一期）</t>
  </si>
  <si>
    <t>2021年至2045年</t>
  </si>
  <si>
    <t>2024年浙江省其他项目收益专项债券（二十一期）--2024年浙江省政府专项债券（二十六期）</t>
  </si>
  <si>
    <t>项目总建筑面积约70550㎡，供配电</t>
  </si>
  <si>
    <t>衢州市衢江区建设投资集团有限公司</t>
  </si>
  <si>
    <t>衢江区城区核心区人才公寓项目</t>
  </si>
  <si>
    <t>本项目总用地面积约97亩，项目总建筑面积160374平方米，其中地上建筑面积129334平方米，地下建筑面积31040，项目总投资估算70216万元，其中工程建设费用56390万元，工程建设其他费用12036万元（含土地划拨费用8730万元），预备费1790万元。</t>
  </si>
  <si>
    <t>2024年浙江省其他项目收益专项债券（三十七期）--2024年浙江省政府专项债券（四十六期）</t>
  </si>
  <si>
    <t>拟建设保障性人才公寓、地下车库、物业管理用房等配套用房，以及道路广场、给排水等附属工程等。一期马家浜制造业片区高端人才公寓总用地面积约32872平方米，拟建总建筑面积约为100800㎡，其中地上建筑面积约为64550㎡，地下建筑面积约为36250㎡。其中80平方以下计容面积占总计容面积的比例为：大于50%。二期先进制造业片区高端人才公寓总用地面积约20962平方米，建筑面积约64900㎡，其中地上约41950㎡，地下约22950㎡。</t>
  </si>
  <si>
    <t>嘉兴经济技术开发区建设投资集团有限公司</t>
  </si>
  <si>
    <t>嘉兴经济技术开发区高端人才公寓项目</t>
  </si>
  <si>
    <t>2024年浙江省其他项目收益专项债券（三十二期）--2024年浙江省政府专项债券（三十八期）</t>
  </si>
  <si>
    <t>本项目总建筑面积89685.88平方</t>
  </si>
  <si>
    <t>杭州临平运河综合保护开发建设有限公司</t>
  </si>
  <si>
    <t>塘栖62号地块公租房项目</t>
  </si>
  <si>
    <t>2024年浙江省其他项目收益专项债券（十期）--2024年浙江省政府专项债券（十二期）</t>
  </si>
  <si>
    <t>子项目1蒋马山背保障性用房及配套项目，占地58亩，建筑面积约12万平方米，主要内容包括保障性配套用房742套；子项目2乐乐研发中心及保障性用房项目，占地24亩，建筑面积5.5万平方米，主要内容包括保障性配套用房570套及配套养老用房、公共文化设施等。</t>
  </si>
  <si>
    <t>杭州钱塘区城市发展集团有限公司</t>
  </si>
  <si>
    <t>温州市</t>
  </si>
  <si>
    <t>本项目位于滨海园区D406-a-2地块，地块东南侧为D406-a-1、西南侧为滨海八路、东北侧为防护绿化带，西北侧为经四支路，项目总用地面积17,653平方米。项目建设规模：总建筑面积45,810平方米，其中地上建筑面积30,010平方米（其中：住宅用房及配套管理用房面积29,710平方米，物业用房300平方米），地下建筑面积15,800平方米。项目建成后，可设置停车场450个，充电桩54个，可用于出租面积29,710平方米。</t>
  </si>
  <si>
    <t>财政</t>
  </si>
  <si>
    <t>温州龙达围垦开发建设有限公司</t>
  </si>
  <si>
    <t>滨海园区保障性租赁住房建设工程</t>
  </si>
  <si>
    <t>项目规划总用地面积约29131平方米（合约43.6965亩），容积率2.5，建筑密度22%，绿地率35%，总建筑面积约为138177平方米，其中地上建筑面积约为72827方米，地下建筑面积约为63420平方米，架空层面积约为1930平方米。园区内机动车停车位1201个，非机动车位2287个。</t>
  </si>
  <si>
    <t>杭州市开发投资有限公司</t>
  </si>
  <si>
    <t>兴起路公租房</t>
  </si>
  <si>
    <t>该项目总建筑面积约107500平方米率1.66，建筑密度17%；</t>
  </si>
  <si>
    <t>2024年浙江省其他项目收益专项债券（四期）--2024年浙江省政府专项债券（四期）</t>
  </si>
  <si>
    <t>项目总建筑面积为107828.95平方米，其中地上建筑面屋、配套用房、地下车库</t>
  </si>
  <si>
    <t>杭州开景置业有限公司</t>
  </si>
  <si>
    <t>东湖北路公租房</t>
  </si>
  <si>
    <t>义乌市</t>
  </si>
  <si>
    <t>2024年至2046年</t>
  </si>
  <si>
    <t>2024年至2027年</t>
  </si>
  <si>
    <t>项目于2024年已列入保障性租赁住房计划，主要建设内容包括保障性租赁住房、配套服务用房、道路广场及相关附属配套设施。新建建筑面积71565.93平方米，其中地上建筑面积52965平方米，地下建筑面积18600.93平方米，设置保租房1088套。同时建设周边道路280米，排水管网1105米，供水管网1425米。</t>
  </si>
  <si>
    <t>住建局</t>
  </si>
  <si>
    <t>义乌市佛堂客运站区块保障性租赁住房项目</t>
  </si>
  <si>
    <t>项目于2024年已列入保障性租赁住房计划，主要建设内容包括保障性租赁住房、配套服务用房、道路广场及相关附属配套设施。新建建筑面积46285.03平方米，其中地上建筑面积31997.5平方米，地下建筑面积14287.53平方米，设置保租房665套。同时建设周边道路400米，排水管网1255米，供水管网1350米。</t>
  </si>
  <si>
    <t>义乌市北苑宇宅口区块保障性租赁住房项目</t>
  </si>
  <si>
    <t>2024年浙江省其他项目收益专项债券（十九期）--2024年浙江省政府专项债券（二十四期）</t>
  </si>
  <si>
    <t>松阳县</t>
  </si>
  <si>
    <t>2024年至2047年</t>
  </si>
  <si>
    <t>项目包括赤寿半古月地块和西屏育英路地块两个工程，总用地面积16317.92平方米，建筑占地面积6368平方米，总建筑面积45221平方米，建设内容包括保障性租赁用房，同时建设给排水、电力电信、充电桩等配套基础设施。赤寿半古月地块用地面积11419.92平方米，建筑占地面积4568平方米，建筑面积31776平方米，容积率1.75，建筑密度40%，绿地率30%；育英路地块用地面积4898.0平方米，建筑占地1800平方米，建筑面积13445.0平方米，容积率1.5，建筑密度37%，绿地率20%。</t>
  </si>
  <si>
    <t>松阳县住房和城乡建设局</t>
  </si>
  <si>
    <t>松阳县保障性租赁住房项目</t>
  </si>
  <si>
    <t>上虞区</t>
  </si>
  <si>
    <t>2023年至2048年</t>
  </si>
  <si>
    <t>项目总用地面积48379平方米，总建筑面积约130056平方米（钢结构建筑面积约14800平方米，装配化装修楼层面积约76000平方米），其中地上建筑面积约88511.03平方米,地下建筑面积约41544.97平方米。主要建设7幢6-17F不等的主楼，建筑功能设置保障性租赁用房；其余为配套用房，主要包括公建配套、物业用房及其他（含排烟井、开闭所、门卫室、垃圾房等）。本项目快充电桩20个，慢充电桩180个，地下机动车位920个，地上机动车位78个。</t>
  </si>
  <si>
    <t>上虞市海纳新农村置业有限公司</t>
  </si>
  <si>
    <t>高铁新城青春驿站（高铁新城J7地块建设项目）</t>
  </si>
  <si>
    <t>2022年至2054年</t>
  </si>
  <si>
    <t>本项目建设地点位于海宁市联合路南侧、广远路东侧。项目新建总建筑面积约146295.02平方米，其中地上建筑面积约107587.97平方米（含住宅约100374.78平方米、社区配套用房约7116.38平方米、地下室管井约96.81平方米），地下室建筑面积约38707.05平方米。同时建设室外道路、绿化、给排水等相关配套设施。</t>
  </si>
  <si>
    <t>海宁市公租房管理服务有限责任公司</t>
  </si>
  <si>
    <t>海宁市新建公共租赁住房项目</t>
  </si>
  <si>
    <t>2024年浙江省其他项目收益专项债券（十五期）--2024年浙江省政府专项债券（十八期）</t>
  </si>
  <si>
    <t>忠县</t>
  </si>
  <si>
    <t>重庆市</t>
  </si>
  <si>
    <t>为切实改善忠县乌杨新区人居环境，提升生活质量，将对忠县移民生态工业园保障性租赁住房进行装修改造。装修总建筑面积28249平方米，其中保障性租赁住房26649平方米、食堂1600平方米。包括室内装饰装修、建筑外墙防渗改造、建筑屋顶防渗改造、安防设施改造、空调机位规整、消费设施改造等房屋修缮工程，及配套室外活动场地、文化宣传墙等设施建设。</t>
  </si>
  <si>
    <t>重庆市通瑞农业发展有限公司</t>
  </si>
  <si>
    <t>忠县移民生态工业园保障性租赁住房提档升级项目</t>
  </si>
  <si>
    <t>2023年重庆市政府专项债券（三十六期）</t>
  </si>
  <si>
    <t>石柱土家族自治县</t>
  </si>
  <si>
    <t>2023年至2040年</t>
  </si>
  <si>
    <t>项目规划用地面积9999.97平方米（约15亩），新建建筑面积约34424.43平方米，其中地上建筑面积为25179.20平方米，新建建筑面积约34424.43平方米，其中地上建筑面积为25179.20平方米，地下建筑面积为9245.23平方米。同时，配置停车位327个，其中地上停车位76个。地下停车位251个。项目建成后，可提供保障性租赁住房426套，可供1363人居住。主要建设内容包括土建、安装、装饰装修、室外综合管网、道路及硬质铺装、绿化、水电气等基础设施工程。</t>
  </si>
  <si>
    <t>石柱土家族自治县住房和城乡建设委员会</t>
  </si>
  <si>
    <t>石柱县双庆保障性租赁住房工程项目</t>
  </si>
  <si>
    <t>2023年重庆市政府专项债券（三十四期）</t>
  </si>
  <si>
    <t>项目总用地面积65.46亩，总建筑面积83341.21平方米，其中改建西流保障性租赁住房53260.86平方米，主要包括居住用房53207.88平方米、配套用房52.98平方米，并配套实施装修工程、安装工程和附属工程；存量住房装修改造30080.35平方米。</t>
  </si>
  <si>
    <t>重庆市通达投资有限公司</t>
  </si>
  <si>
    <t>忠县县城保障性租赁住房一期项目</t>
  </si>
  <si>
    <t>2023年重庆市政府专项债券（三十五期）</t>
  </si>
  <si>
    <t>渝北区</t>
  </si>
  <si>
    <t>2024年至2029年</t>
  </si>
  <si>
    <t>2024年至2026年</t>
  </si>
  <si>
    <t>项目占地面积约51亩，建筑面积约9万平方米。建设内容包括房屋土建、房屋装修、平场土石方、小区内燃气、排水、供水、供热、道路、供电、通信、绿化、照明、消防等配套基础设施，以及地下停车场、配套用房等。计划于2024年11月开工，工期24个月。</t>
  </si>
  <si>
    <t>重庆渝北城市更新建设有限公司</t>
  </si>
  <si>
    <t>渝北区B37-1地块保障性住房工程</t>
  </si>
  <si>
    <t>2024年重庆市政府专项债券（二十一期）</t>
  </si>
  <si>
    <t>合川区</t>
  </si>
  <si>
    <t>项目建设内容：建设内容包括平场及总平面、建筑、结构、室内外装饰装修、道路、管网、给排水、电气、消防、节能、暖通、景观、绿化、生化池等。建设规模：项目占地约56亩，建设保障性租赁住房75000平方米及其附属设施。</t>
  </si>
  <si>
    <t>重庆合川交通设备制造产业发展有限公司</t>
  </si>
  <si>
    <t>合川汽车产业园区保障性租赁住房</t>
  </si>
  <si>
    <t>秀山土家族苗族自治县</t>
  </si>
  <si>
    <t>对高新区内认定的保障性租赁住房进行提质升级，修复及改造包括2011年廉租房约2.3万平方米、2012年公租房约10万平方米，创新创业综合服务中心约11.4万平方米及独立工矿区约3.9万平方米等项目，完善消防500套，门禁门锁4000套，配建充电桩约200个，电力线路改造约4000米，并配建高新区保障性租赁住房约40000平方米。</t>
  </si>
  <si>
    <t>重庆秀业集团投资有限公司</t>
  </si>
  <si>
    <t>秀山高新区保障性租赁住房提质升级建设项目</t>
  </si>
  <si>
    <t>2020年至2051年</t>
  </si>
  <si>
    <t>本项目主要建设保障性租赁住房，总建筑面积约52万方，其中配套用房约0.4万方，设置停车位约4265个（含新能源充电桩1000个）。主要建设内容包括土建、室内外装饰装修、安装、室外综合管网及附属配套设施。</t>
  </si>
  <si>
    <t>重庆绿发城市建设有限公司</t>
  </si>
  <si>
    <t>绿岛丽景建设项目</t>
  </si>
  <si>
    <t>2024年重庆市政府专项债券（七期）</t>
  </si>
  <si>
    <t>南川区</t>
  </si>
  <si>
    <t>2023年至2053年</t>
  </si>
  <si>
    <t>主要内容：1.将南川区金佛安置小区项目（B区）、南川区长远安置小区项目（B区）、南川区庙堡顶安置小区项目（B区）、南川区凤凰花苑工程、硫磺安置还房扩建工程、南川区上江雅筑工程、花山南苑B区建设项目、金华丽苑安置小区建设项目，合计8处国有闲置房源装修改造为保障性租赁住房项目。项目总建筑面积85585.03㎡，保障性租赁住房建筑面积85585.03㎡，保障性租赁住房1264套（间）。预期效益：1.经济效益：本项目预计债券发行期限为20年，可实现的运营收入主要为（物业租金、物业管理费收入等）收入，预计债券存续期内可实现项目净收入为4亿元。2.社会效益：项目建成后，能够解决城市发展不平衡不充分问题、改善人居环境、推动惠民生扩内需，改善居民居住条件，实现人民群众对美好生活向往。</t>
  </si>
  <si>
    <t>重庆市南川区城市建设投资有限责任公司</t>
  </si>
  <si>
    <t>重庆市南川区国有闲置存量房源保障性租赁住房（一期）项目</t>
  </si>
  <si>
    <t>2024年重庆市政府专项债券（三期）</t>
  </si>
  <si>
    <t>本项目名称为重庆市南川区国有闲置存量房源保障性租赁住房（二期）项目，主要建设内容：对南川区硫磺大院小区存量住房资产进行装修改造为保障性租赁住房。总建筑面积约86333.47m2，改造后形成保障性租赁住房1349套（其中：套内建筑面积70m2以上的255套，总建筑面积约21486.39m2；套内建筑面积70m2以下的1094套，总建筑面积约64847.08m2）。</t>
  </si>
  <si>
    <t>重庆市南川区国有闲置存量房源保障性租赁住房（二期）项目</t>
  </si>
  <si>
    <t>2024年重庆市政府专项债券（十三期）</t>
  </si>
  <si>
    <t>区</t>
    <phoneticPr fontId="1" type="noConversion"/>
  </si>
  <si>
    <t>市</t>
    <phoneticPr fontId="1" type="noConversion"/>
  </si>
  <si>
    <t>省</t>
    <phoneticPr fontId="1" type="noConversion"/>
  </si>
  <si>
    <t>地区</t>
  </si>
  <si>
    <t>年份</t>
  </si>
  <si>
    <t>债券存续期内项目总收益</t>
  </si>
  <si>
    <t>其他债务融资</t>
  </si>
  <si>
    <t>专项债券融资</t>
  </si>
  <si>
    <t>其中：不含专项债券的项目资本金</t>
  </si>
  <si>
    <t>债券存续期内项目总投资</t>
  </si>
  <si>
    <t>运营期终</t>
    <phoneticPr fontId="1" type="noConversion"/>
  </si>
  <si>
    <t>运营期始</t>
    <phoneticPr fontId="1" type="noConversion"/>
  </si>
  <si>
    <t>运营期</t>
    <phoneticPr fontId="1" type="noConversion"/>
  </si>
  <si>
    <t>建设期终</t>
    <phoneticPr fontId="1" type="noConversion"/>
  </si>
  <si>
    <t>建设期始</t>
    <phoneticPr fontId="1" type="noConversion"/>
  </si>
  <si>
    <t>建设期</t>
    <phoneticPr fontId="1" type="noConversion"/>
  </si>
  <si>
    <t>简要描述</t>
  </si>
  <si>
    <t>其中：用于符合条件的重大项目资本金的金额</t>
  </si>
  <si>
    <t>专项债券中用于该项目的金额</t>
  </si>
  <si>
    <t>项目类型</t>
  </si>
  <si>
    <t>预期总收益</t>
  </si>
  <si>
    <t>债券融资</t>
  </si>
  <si>
    <t>财政安排</t>
  </si>
  <si>
    <t>总值</t>
  </si>
  <si>
    <t>主管部门</t>
  </si>
  <si>
    <t>项目单位</t>
  </si>
  <si>
    <t>项目名称</t>
  </si>
  <si>
    <t>发行规模</t>
  </si>
  <si>
    <t>债券名称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</si>
</sst>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xf numFmtId="0" fontId="0" fillId="0" borderId="0" xfId="0" applyAlignment="1">
      <alignment wrapText="1"/>
    </xf>
    <xf numFmtId="0" fontId="2" fillId="0" borderId="1" xfId="0" applyFont="1" applyBorder="1" applyAlignment="1">
      <alignment horizontal="center"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49"/>
  <sheetViews>
    <sheetView tabSelected="1" topLeftCell="A139" workbookViewId="0">
      <selection activeCell="K143" sqref="K143"/>
    </sheetView>
  </sheetViews>
  <sheetFormatPr defaultColWidth="9" defaultRowHeight="14.4" x14ac:dyDescent="0.25"/>
  <sheetData>
    <row r="1" spans="1:29" s="2" customFormat="1" ht="100.8" x14ac:dyDescent="0.25">
      <c r="A1" s="3" t="s">
        <v>486</v>
      </c>
      <c r="B1" s="3" t="s">
        <v>485</v>
      </c>
      <c r="C1" s="3" t="s">
        <v>484</v>
      </c>
      <c r="D1" s="3" t="s">
        <v>483</v>
      </c>
      <c r="E1" s="3" t="s">
        <v>482</v>
      </c>
      <c r="F1" s="3" t="s">
        <v>481</v>
      </c>
      <c r="G1" s="3" t="s">
        <v>480</v>
      </c>
      <c r="H1" s="3" t="s">
        <v>479</v>
      </c>
      <c r="I1" s="3" t="s">
        <v>478</v>
      </c>
      <c r="J1" s="3" t="s">
        <v>477</v>
      </c>
      <c r="K1" s="3" t="s">
        <v>476</v>
      </c>
      <c r="L1" s="3" t="s">
        <v>475</v>
      </c>
      <c r="M1" s="3" t="s">
        <v>474</v>
      </c>
      <c r="N1" s="3" t="s">
        <v>473</v>
      </c>
      <c r="O1" s="3" t="s">
        <v>472</v>
      </c>
      <c r="P1" s="3" t="s">
        <v>471</v>
      </c>
      <c r="Q1" s="3" t="s">
        <v>470</v>
      </c>
      <c r="R1" s="3" t="s">
        <v>469</v>
      </c>
      <c r="S1" s="3" t="s">
        <v>468</v>
      </c>
      <c r="T1" s="3" t="s">
        <v>467</v>
      </c>
      <c r="U1" s="3" t="s">
        <v>466</v>
      </c>
      <c r="V1" s="3" t="s">
        <v>465</v>
      </c>
      <c r="W1" s="3" t="s">
        <v>464</v>
      </c>
      <c r="X1" s="3" t="s">
        <v>463</v>
      </c>
      <c r="Y1" s="3" t="s">
        <v>462</v>
      </c>
      <c r="Z1" s="3" t="s">
        <v>461</v>
      </c>
      <c r="AA1" s="3" t="s">
        <v>460</v>
      </c>
      <c r="AB1" s="3" t="s">
        <v>459</v>
      </c>
      <c r="AC1" s="3" t="s">
        <v>458</v>
      </c>
    </row>
    <row r="2" spans="1:29" s="1" customFormat="1" x14ac:dyDescent="0.25">
      <c r="A2" s="1" t="s">
        <v>457</v>
      </c>
      <c r="B2" s="1">
        <v>38.79</v>
      </c>
      <c r="C2" s="1" t="s">
        <v>456</v>
      </c>
      <c r="D2" s="1" t="s">
        <v>452</v>
      </c>
      <c r="E2" s="1" t="s">
        <v>20</v>
      </c>
      <c r="F2" s="1">
        <v>5.35</v>
      </c>
      <c r="H2" s="1">
        <v>4.28</v>
      </c>
      <c r="I2" s="1">
        <v>17.920000000000002</v>
      </c>
      <c r="J2" s="1" t="s">
        <v>5</v>
      </c>
      <c r="K2" s="1">
        <v>17000</v>
      </c>
      <c r="L2" s="1">
        <v>0</v>
      </c>
      <c r="M2" s="1" t="s">
        <v>455</v>
      </c>
      <c r="N2" s="1" t="s">
        <v>53</v>
      </c>
      <c r="O2" s="1" t="str">
        <f>LEFT(N2,4)</f>
        <v>2023</v>
      </c>
      <c r="P2" s="1" t="str">
        <f>MID(N2, LEN(N2)-4, 4)</f>
        <v>2025</v>
      </c>
      <c r="Q2" s="1" t="s">
        <v>450</v>
      </c>
      <c r="R2" s="1" t="str">
        <f>LEFT(Q2,4)</f>
        <v>2023</v>
      </c>
      <c r="S2" s="1" t="str">
        <f>MID(Q2, LEN(Q2)-4, 4)</f>
        <v>2053</v>
      </c>
      <c r="T2" s="1">
        <v>53512</v>
      </c>
      <c r="U2" s="1">
        <v>0</v>
      </c>
      <c r="V2" s="1">
        <v>42809</v>
      </c>
      <c r="W2" s="1">
        <v>0</v>
      </c>
      <c r="X2" s="1">
        <v>174415.63</v>
      </c>
      <c r="Y2" s="1" t="s">
        <v>1</v>
      </c>
      <c r="Z2" s="1" t="s">
        <v>414</v>
      </c>
      <c r="AA2" s="1" t="s">
        <v>414</v>
      </c>
      <c r="AB2" s="1" t="s">
        <v>414</v>
      </c>
      <c r="AC2" s="1" t="s">
        <v>449</v>
      </c>
    </row>
    <row r="3" spans="1:29" s="1" customFormat="1" x14ac:dyDescent="0.25">
      <c r="A3" s="1" t="s">
        <v>454</v>
      </c>
      <c r="B3" s="1">
        <v>47.42</v>
      </c>
      <c r="C3" s="1" t="s">
        <v>453</v>
      </c>
      <c r="D3" s="1" t="s">
        <v>452</v>
      </c>
      <c r="E3" s="1" t="s">
        <v>20</v>
      </c>
      <c r="F3" s="1">
        <v>2</v>
      </c>
      <c r="H3" s="1">
        <v>1.6</v>
      </c>
      <c r="I3" s="1">
        <v>20.5</v>
      </c>
      <c r="J3" s="1" t="s">
        <v>5</v>
      </c>
      <c r="K3" s="1">
        <v>13000</v>
      </c>
      <c r="L3" s="1">
        <v>0</v>
      </c>
      <c r="M3" s="1" t="s">
        <v>451</v>
      </c>
      <c r="N3" s="1" t="s">
        <v>87</v>
      </c>
      <c r="O3" s="1" t="str">
        <f>LEFT(N3,4)</f>
        <v>2023</v>
      </c>
      <c r="P3" s="1" t="str">
        <f>MID(N3, LEN(N3)-4, 4)</f>
        <v>2024</v>
      </c>
      <c r="Q3" s="1" t="s">
        <v>450</v>
      </c>
      <c r="R3" s="1" t="str">
        <f>LEFT(Q3,4)</f>
        <v>2023</v>
      </c>
      <c r="S3" s="1" t="str">
        <f>MID(Q3, LEN(Q3)-4, 4)</f>
        <v>2053</v>
      </c>
      <c r="T3" s="1">
        <v>20000</v>
      </c>
      <c r="U3" s="1">
        <v>0</v>
      </c>
      <c r="V3" s="1">
        <v>16000</v>
      </c>
      <c r="W3" s="1">
        <v>0</v>
      </c>
      <c r="X3" s="1">
        <v>202071.66</v>
      </c>
      <c r="Y3" s="1" t="s">
        <v>1</v>
      </c>
      <c r="Z3" s="1" t="s">
        <v>414</v>
      </c>
      <c r="AA3" s="1" t="s">
        <v>414</v>
      </c>
      <c r="AB3" s="1" t="s">
        <v>414</v>
      </c>
      <c r="AC3" s="1" t="s">
        <v>449</v>
      </c>
    </row>
    <row r="4" spans="1:29" s="1" customFormat="1" x14ac:dyDescent="0.25">
      <c r="A4" s="1" t="s">
        <v>448</v>
      </c>
      <c r="B4" s="1">
        <v>12.83</v>
      </c>
      <c r="C4" s="1" t="s">
        <v>447</v>
      </c>
      <c r="D4" s="1" t="s">
        <v>446</v>
      </c>
      <c r="E4" s="1" t="s">
        <v>69</v>
      </c>
      <c r="F4" s="1">
        <v>22.21</v>
      </c>
      <c r="H4" s="1">
        <v>11</v>
      </c>
      <c r="I4" s="1">
        <v>52.05</v>
      </c>
      <c r="J4" s="1" t="s">
        <v>5</v>
      </c>
      <c r="K4" s="1">
        <v>35000</v>
      </c>
      <c r="L4" s="1">
        <v>0</v>
      </c>
      <c r="M4" s="1" t="s">
        <v>445</v>
      </c>
      <c r="N4" s="1" t="s">
        <v>94</v>
      </c>
      <c r="O4" s="1" t="str">
        <f>LEFT(N4,4)</f>
        <v>2020</v>
      </c>
      <c r="P4" s="1" t="str">
        <f>MID(N4, LEN(N4)-4, 4)</f>
        <v>2024</v>
      </c>
      <c r="Q4" s="1" t="s">
        <v>444</v>
      </c>
      <c r="R4" s="1" t="str">
        <f>LEFT(Q4,4)</f>
        <v>2020</v>
      </c>
      <c r="S4" s="1" t="str">
        <f>MID(Q4, LEN(Q4)-4, 4)</f>
        <v>2051</v>
      </c>
      <c r="T4" s="1">
        <v>222118</v>
      </c>
      <c r="U4" s="1">
        <v>0</v>
      </c>
      <c r="V4" s="1">
        <v>110000</v>
      </c>
      <c r="W4" s="1">
        <v>0</v>
      </c>
      <c r="X4" s="1">
        <v>401968</v>
      </c>
      <c r="Y4" s="1" t="s">
        <v>1</v>
      </c>
      <c r="Z4" s="1" t="s">
        <v>414</v>
      </c>
      <c r="AA4" s="1" t="s">
        <v>414</v>
      </c>
      <c r="AB4" s="1" t="s">
        <v>414</v>
      </c>
    </row>
    <row r="5" spans="1:29" s="1" customFormat="1" x14ac:dyDescent="0.25">
      <c r="A5" s="1" t="s">
        <v>435</v>
      </c>
      <c r="B5" s="1">
        <v>109.72</v>
      </c>
      <c r="C5" s="1" t="s">
        <v>443</v>
      </c>
      <c r="D5" s="1" t="s">
        <v>442</v>
      </c>
      <c r="E5" s="1" t="s">
        <v>10</v>
      </c>
      <c r="F5" s="1">
        <v>4.01</v>
      </c>
      <c r="H5" s="1">
        <v>2.8</v>
      </c>
      <c r="I5" s="1">
        <v>7.55</v>
      </c>
      <c r="J5" s="1" t="s">
        <v>5</v>
      </c>
      <c r="K5" s="1">
        <v>10000</v>
      </c>
      <c r="L5" s="1">
        <v>0</v>
      </c>
      <c r="M5" s="1" t="s">
        <v>441</v>
      </c>
      <c r="N5" s="1" t="s">
        <v>87</v>
      </c>
      <c r="O5" s="1" t="str">
        <f>LEFT(N5,4)</f>
        <v>2023</v>
      </c>
      <c r="P5" s="1" t="str">
        <f>MID(N5, LEN(N5)-4, 4)</f>
        <v>2024</v>
      </c>
      <c r="Q5" s="1" t="s">
        <v>86</v>
      </c>
      <c r="R5" s="1" t="str">
        <f>LEFT(Q5,4)</f>
        <v>2023</v>
      </c>
      <c r="S5" s="1" t="str">
        <f>MID(Q5, LEN(Q5)-4, 4)</f>
        <v>2038</v>
      </c>
      <c r="T5" s="1">
        <v>40056</v>
      </c>
      <c r="U5" s="1">
        <v>0</v>
      </c>
      <c r="V5" s="1">
        <v>28000</v>
      </c>
      <c r="W5" s="1">
        <v>0</v>
      </c>
      <c r="X5" s="1">
        <v>67904</v>
      </c>
      <c r="Y5" s="1" t="s">
        <v>1</v>
      </c>
      <c r="Z5" s="1" t="s">
        <v>414</v>
      </c>
      <c r="AA5" s="1" t="s">
        <v>414</v>
      </c>
      <c r="AB5" s="1" t="s">
        <v>414</v>
      </c>
      <c r="AC5" s="1" t="s">
        <v>440</v>
      </c>
    </row>
    <row r="6" spans="1:29" s="1" customFormat="1" x14ac:dyDescent="0.25">
      <c r="A6" s="1" t="s">
        <v>435</v>
      </c>
      <c r="B6" s="1">
        <v>109.72</v>
      </c>
      <c r="C6" s="1" t="s">
        <v>439</v>
      </c>
      <c r="D6" s="1" t="s">
        <v>438</v>
      </c>
      <c r="E6" s="1" t="s">
        <v>378</v>
      </c>
      <c r="F6" s="1">
        <v>5.48</v>
      </c>
      <c r="H6" s="1">
        <v>1.6</v>
      </c>
      <c r="I6" s="1">
        <v>12.45</v>
      </c>
      <c r="J6" s="1" t="s">
        <v>5</v>
      </c>
      <c r="K6" s="1">
        <v>5500</v>
      </c>
      <c r="L6" s="1">
        <v>0</v>
      </c>
      <c r="M6" s="1" t="s">
        <v>437</v>
      </c>
      <c r="N6" s="1" t="s">
        <v>101</v>
      </c>
      <c r="O6" s="1" t="str">
        <f>LEFT(N6,4)</f>
        <v>2022</v>
      </c>
      <c r="P6" s="1" t="str">
        <f>MID(N6, LEN(N6)-4, 4)</f>
        <v>2025</v>
      </c>
      <c r="Q6" s="1" t="s">
        <v>73</v>
      </c>
      <c r="R6" s="1" t="str">
        <f>LEFT(Q6,4)</f>
        <v>2022</v>
      </c>
      <c r="S6" s="1" t="str">
        <f>MID(Q6, LEN(Q6)-4, 4)</f>
        <v>2037</v>
      </c>
      <c r="T6" s="1">
        <v>63758</v>
      </c>
      <c r="U6" s="1">
        <v>0</v>
      </c>
      <c r="V6" s="1">
        <v>16000</v>
      </c>
      <c r="W6" s="1">
        <v>0</v>
      </c>
      <c r="X6" s="1">
        <v>114708</v>
      </c>
      <c r="Y6" s="1" t="s">
        <v>1</v>
      </c>
      <c r="Z6" s="1" t="s">
        <v>414</v>
      </c>
      <c r="AA6" s="1" t="s">
        <v>414</v>
      </c>
      <c r="AB6" s="1" t="s">
        <v>414</v>
      </c>
      <c r="AC6" s="1" t="s">
        <v>436</v>
      </c>
    </row>
    <row r="7" spans="1:29" s="1" customFormat="1" x14ac:dyDescent="0.25">
      <c r="A7" s="1" t="s">
        <v>435</v>
      </c>
      <c r="B7" s="1">
        <v>109.72</v>
      </c>
      <c r="C7" s="1" t="s">
        <v>434</v>
      </c>
      <c r="D7" s="1" t="s">
        <v>433</v>
      </c>
      <c r="E7" s="1" t="s">
        <v>69</v>
      </c>
      <c r="F7" s="1">
        <v>2</v>
      </c>
      <c r="G7" s="1">
        <v>0.2</v>
      </c>
      <c r="H7" s="1">
        <v>1.8</v>
      </c>
      <c r="I7" s="1">
        <v>16.829999999999998</v>
      </c>
      <c r="J7" s="1" t="s">
        <v>5</v>
      </c>
      <c r="K7" s="1">
        <v>10000</v>
      </c>
      <c r="L7" s="1">
        <v>0</v>
      </c>
      <c r="M7" s="1" t="s">
        <v>432</v>
      </c>
      <c r="N7" s="1" t="s">
        <v>431</v>
      </c>
      <c r="O7" s="1" t="str">
        <f>LEFT(N7,4)</f>
        <v>2024</v>
      </c>
      <c r="P7" s="1" t="str">
        <f>MID(N7, LEN(N7)-4, 4)</f>
        <v>2026</v>
      </c>
      <c r="Q7" s="1" t="s">
        <v>430</v>
      </c>
      <c r="R7" s="1" t="str">
        <f>LEFT(Q7,4)</f>
        <v>2024</v>
      </c>
      <c r="S7" s="1" t="str">
        <f>MID(Q7, LEN(Q7)-4, 4)</f>
        <v>2029</v>
      </c>
      <c r="T7" s="1">
        <v>60000</v>
      </c>
      <c r="U7" s="1">
        <v>0</v>
      </c>
      <c r="V7" s="1">
        <v>48000</v>
      </c>
      <c r="W7" s="1">
        <v>0</v>
      </c>
      <c r="X7" s="1">
        <v>84173.15</v>
      </c>
      <c r="Y7" s="1" t="s">
        <v>1</v>
      </c>
      <c r="Z7" s="1" t="s">
        <v>414</v>
      </c>
      <c r="AA7" s="1" t="s">
        <v>414</v>
      </c>
      <c r="AB7" s="1" t="s">
        <v>414</v>
      </c>
      <c r="AC7" s="1" t="s">
        <v>429</v>
      </c>
    </row>
    <row r="8" spans="1:29" s="1" customFormat="1" x14ac:dyDescent="0.25">
      <c r="A8" s="1" t="s">
        <v>428</v>
      </c>
      <c r="B8" s="1">
        <v>48.74</v>
      </c>
      <c r="C8" s="1" t="s">
        <v>427</v>
      </c>
      <c r="D8" s="1" t="s">
        <v>426</v>
      </c>
      <c r="E8" s="1" t="s">
        <v>69</v>
      </c>
      <c r="F8" s="1">
        <v>2.64</v>
      </c>
      <c r="H8" s="1">
        <v>1.8</v>
      </c>
      <c r="I8" s="1">
        <v>6.51</v>
      </c>
      <c r="J8" s="1" t="s">
        <v>5</v>
      </c>
      <c r="K8" s="1">
        <v>3500</v>
      </c>
      <c r="L8" s="1">
        <v>0</v>
      </c>
      <c r="M8" s="1" t="s">
        <v>425</v>
      </c>
      <c r="N8" s="1" t="s">
        <v>74</v>
      </c>
      <c r="O8" s="1" t="str">
        <f>LEFT(N8,4)</f>
        <v>2022</v>
      </c>
      <c r="P8" s="1" t="str">
        <f>MID(N8, LEN(N8)-4, 4)</f>
        <v>2024</v>
      </c>
      <c r="Q8" s="1" t="s">
        <v>228</v>
      </c>
      <c r="R8" s="1" t="str">
        <f>LEFT(Q8,4)</f>
        <v>2022</v>
      </c>
      <c r="S8" s="1" t="str">
        <f>MID(Q8, LEN(Q8)-4, 4)</f>
        <v>2044</v>
      </c>
      <c r="T8" s="1">
        <v>26400</v>
      </c>
      <c r="U8" s="1">
        <v>0</v>
      </c>
      <c r="V8" s="1">
        <v>18000</v>
      </c>
      <c r="W8" s="1">
        <v>0</v>
      </c>
      <c r="X8" s="1">
        <v>63350</v>
      </c>
      <c r="Y8" s="1" t="s">
        <v>125</v>
      </c>
      <c r="Z8" s="1" t="s">
        <v>414</v>
      </c>
      <c r="AA8" s="1" t="s">
        <v>414</v>
      </c>
      <c r="AB8" s="1" t="s">
        <v>414</v>
      </c>
      <c r="AC8" s="1" t="s">
        <v>413</v>
      </c>
    </row>
    <row r="9" spans="1:29" s="1" customFormat="1" x14ac:dyDescent="0.25">
      <c r="A9" s="1" t="s">
        <v>424</v>
      </c>
      <c r="B9" s="1">
        <v>28.53</v>
      </c>
      <c r="C9" s="1" t="s">
        <v>423</v>
      </c>
      <c r="D9" s="1" t="s">
        <v>422</v>
      </c>
      <c r="E9" s="1" t="s">
        <v>20</v>
      </c>
      <c r="F9" s="1">
        <v>1.94</v>
      </c>
      <c r="G9" s="1">
        <v>0.84</v>
      </c>
      <c r="H9" s="1">
        <v>1.1000000000000001</v>
      </c>
      <c r="I9" s="1">
        <v>4.32</v>
      </c>
      <c r="J9" s="1" t="s">
        <v>5</v>
      </c>
      <c r="K9" s="1">
        <v>3000</v>
      </c>
      <c r="L9" s="1">
        <v>0</v>
      </c>
      <c r="M9" s="1" t="s">
        <v>421</v>
      </c>
      <c r="N9" s="1" t="s">
        <v>53</v>
      </c>
      <c r="O9" s="1" t="str">
        <f>LEFT(N9,4)</f>
        <v>2023</v>
      </c>
      <c r="P9" s="1" t="str">
        <f>MID(N9, LEN(N9)-4, 4)</f>
        <v>2025</v>
      </c>
      <c r="Q9" s="1" t="s">
        <v>420</v>
      </c>
      <c r="R9" s="1" t="str">
        <f>LEFT(Q9,4)</f>
        <v>2023</v>
      </c>
      <c r="S9" s="1" t="str">
        <f>MID(Q9, LEN(Q9)-4, 4)</f>
        <v>2040</v>
      </c>
      <c r="T9" s="1">
        <v>19369.759999999998</v>
      </c>
      <c r="U9" s="1">
        <v>0</v>
      </c>
      <c r="V9" s="1">
        <v>11000</v>
      </c>
      <c r="W9" s="1">
        <v>0</v>
      </c>
      <c r="X9" s="1">
        <v>39449.199999999997</v>
      </c>
      <c r="Y9" s="1" t="s">
        <v>125</v>
      </c>
      <c r="Z9" s="1" t="s">
        <v>414</v>
      </c>
      <c r="AA9" s="1" t="s">
        <v>414</v>
      </c>
      <c r="AB9" s="1" t="s">
        <v>414</v>
      </c>
      <c r="AC9" s="1" t="s">
        <v>419</v>
      </c>
    </row>
    <row r="10" spans="1:29" s="1" customFormat="1" x14ac:dyDescent="0.25">
      <c r="A10" s="1" t="s">
        <v>418</v>
      </c>
      <c r="B10" s="1">
        <v>2.82</v>
      </c>
      <c r="C10" s="1" t="s">
        <v>417</v>
      </c>
      <c r="D10" s="1" t="s">
        <v>416</v>
      </c>
      <c r="E10" s="1" t="s">
        <v>69</v>
      </c>
      <c r="F10" s="1">
        <v>1.54</v>
      </c>
      <c r="H10" s="1">
        <v>1</v>
      </c>
      <c r="I10" s="1">
        <v>3.66</v>
      </c>
      <c r="J10" s="1" t="s">
        <v>5</v>
      </c>
      <c r="K10" s="1">
        <v>10000</v>
      </c>
      <c r="L10" s="1">
        <v>0</v>
      </c>
      <c r="M10" s="1" t="s">
        <v>415</v>
      </c>
      <c r="N10" s="1" t="s">
        <v>53</v>
      </c>
      <c r="O10" s="1" t="str">
        <f>LEFT(N10,4)</f>
        <v>2023</v>
      </c>
      <c r="P10" s="1" t="str">
        <f>MID(N10, LEN(N10)-4, 4)</f>
        <v>2025</v>
      </c>
      <c r="Q10" s="1" t="s">
        <v>86</v>
      </c>
      <c r="R10" s="1" t="str">
        <f>LEFT(Q10,4)</f>
        <v>2023</v>
      </c>
      <c r="S10" s="1" t="str">
        <f>MID(Q10, LEN(Q10)-4, 4)</f>
        <v>2038</v>
      </c>
      <c r="T10" s="1">
        <v>15354.86</v>
      </c>
      <c r="U10" s="1">
        <v>0</v>
      </c>
      <c r="V10" s="1">
        <v>10000</v>
      </c>
      <c r="W10" s="1">
        <v>0</v>
      </c>
      <c r="X10" s="1">
        <v>25107.85</v>
      </c>
      <c r="Y10" s="1" t="s">
        <v>125</v>
      </c>
      <c r="Z10" s="1" t="s">
        <v>414</v>
      </c>
      <c r="AA10" s="1" t="s">
        <v>414</v>
      </c>
      <c r="AB10" s="1" t="s">
        <v>414</v>
      </c>
      <c r="AC10" s="1" t="s">
        <v>413</v>
      </c>
    </row>
    <row r="11" spans="1:29" s="1" customFormat="1" x14ac:dyDescent="0.25">
      <c r="A11" s="1" t="s">
        <v>412</v>
      </c>
      <c r="B11" s="1">
        <v>27.29</v>
      </c>
      <c r="C11" s="1" t="s">
        <v>411</v>
      </c>
      <c r="D11" s="1" t="s">
        <v>410</v>
      </c>
      <c r="E11" s="1" t="s">
        <v>69</v>
      </c>
      <c r="F11" s="1">
        <v>6.19</v>
      </c>
      <c r="G11" s="1">
        <v>1.19</v>
      </c>
      <c r="H11" s="1">
        <v>5</v>
      </c>
      <c r="I11" s="1">
        <v>22.17</v>
      </c>
      <c r="J11" s="1" t="s">
        <v>5</v>
      </c>
      <c r="K11" s="1">
        <v>34000</v>
      </c>
      <c r="L11" s="1">
        <v>0</v>
      </c>
      <c r="M11" s="1" t="s">
        <v>409</v>
      </c>
      <c r="N11" s="1" t="s">
        <v>101</v>
      </c>
      <c r="O11" s="1" t="str">
        <f>LEFT(N11,4)</f>
        <v>2022</v>
      </c>
      <c r="P11" s="1" t="str">
        <f>MID(N11, LEN(N11)-4, 4)</f>
        <v>2025</v>
      </c>
      <c r="Q11" s="1" t="s">
        <v>408</v>
      </c>
      <c r="R11" s="1" t="str">
        <f>LEFT(Q11,4)</f>
        <v>2022</v>
      </c>
      <c r="S11" s="1" t="str">
        <f>MID(Q11, LEN(Q11)-4, 4)</f>
        <v>2054</v>
      </c>
      <c r="T11" s="1">
        <v>80000</v>
      </c>
      <c r="U11" s="1">
        <v>30000</v>
      </c>
      <c r="V11" s="1">
        <v>50000</v>
      </c>
      <c r="W11" s="1">
        <v>0</v>
      </c>
      <c r="X11" s="1">
        <v>166919.42000000001</v>
      </c>
      <c r="Y11" s="1" t="s">
        <v>1</v>
      </c>
      <c r="Z11" s="1" t="s">
        <v>153</v>
      </c>
      <c r="AA11" s="1" t="s">
        <v>153</v>
      </c>
      <c r="AB11" s="1" t="s">
        <v>196</v>
      </c>
      <c r="AC11" s="1" t="s">
        <v>195</v>
      </c>
    </row>
    <row r="12" spans="1:29" s="1" customFormat="1" x14ac:dyDescent="0.25">
      <c r="A12" s="1" t="s">
        <v>358</v>
      </c>
      <c r="B12" s="1">
        <v>129.85</v>
      </c>
      <c r="C12" s="1" t="s">
        <v>407</v>
      </c>
      <c r="D12" s="1" t="s">
        <v>406</v>
      </c>
      <c r="E12" s="1" t="s">
        <v>20</v>
      </c>
      <c r="F12" s="1">
        <v>9.27</v>
      </c>
      <c r="G12" s="1">
        <v>6.62</v>
      </c>
      <c r="H12" s="1">
        <v>2.65</v>
      </c>
      <c r="I12" s="1">
        <v>23.24</v>
      </c>
      <c r="J12" s="1" t="s">
        <v>5</v>
      </c>
      <c r="K12" s="1">
        <v>53000</v>
      </c>
      <c r="L12" s="1">
        <v>0</v>
      </c>
      <c r="M12" s="1" t="s">
        <v>405</v>
      </c>
      <c r="N12" s="1" t="s">
        <v>53</v>
      </c>
      <c r="O12" s="1" t="str">
        <f>LEFT(N12,4)</f>
        <v>2023</v>
      </c>
      <c r="P12" s="1" t="str">
        <f>MID(N12, LEN(N12)-4, 4)</f>
        <v>2025</v>
      </c>
      <c r="Q12" s="1" t="s">
        <v>404</v>
      </c>
      <c r="R12" s="1" t="str">
        <f>LEFT(Q12,4)</f>
        <v>2023</v>
      </c>
      <c r="S12" s="1" t="str">
        <f>MID(Q12, LEN(Q12)-4, 4)</f>
        <v>2048</v>
      </c>
      <c r="T12" s="1">
        <v>119186.09</v>
      </c>
      <c r="U12" s="1">
        <v>0</v>
      </c>
      <c r="V12" s="1">
        <v>53000</v>
      </c>
      <c r="W12" s="1">
        <v>0</v>
      </c>
      <c r="X12" s="1">
        <v>214930.79</v>
      </c>
      <c r="Y12" s="1" t="s">
        <v>1</v>
      </c>
      <c r="Z12" s="1" t="s">
        <v>153</v>
      </c>
      <c r="AA12" s="1" t="s">
        <v>153</v>
      </c>
      <c r="AB12" s="1" t="s">
        <v>286</v>
      </c>
      <c r="AC12" s="1" t="s">
        <v>403</v>
      </c>
    </row>
    <row r="13" spans="1:29" s="1" customFormat="1" x14ac:dyDescent="0.25">
      <c r="A13" s="1" t="s">
        <v>369</v>
      </c>
      <c r="B13" s="1">
        <v>208.8</v>
      </c>
      <c r="C13" s="1" t="s">
        <v>402</v>
      </c>
      <c r="D13" s="1" t="s">
        <v>401</v>
      </c>
      <c r="E13" s="1" t="s">
        <v>20</v>
      </c>
      <c r="F13" s="1">
        <v>0.3</v>
      </c>
      <c r="H13" s="1">
        <v>0.3</v>
      </c>
      <c r="I13" s="1">
        <v>3.54</v>
      </c>
      <c r="J13" s="1" t="s">
        <v>5</v>
      </c>
      <c r="K13" s="1">
        <v>10000</v>
      </c>
      <c r="L13" s="1">
        <v>0</v>
      </c>
      <c r="M13" s="1" t="s">
        <v>400</v>
      </c>
      <c r="N13" s="1" t="s">
        <v>391</v>
      </c>
      <c r="O13" s="1" t="str">
        <f>LEFT(N13,4)</f>
        <v>2024</v>
      </c>
      <c r="P13" s="1" t="str">
        <f>MID(N13, LEN(N13)-4, 4)</f>
        <v>2027</v>
      </c>
      <c r="Q13" s="1" t="s">
        <v>399</v>
      </c>
      <c r="R13" s="1" t="str">
        <f>LEFT(Q13,4)</f>
        <v>2024</v>
      </c>
      <c r="S13" s="1" t="str">
        <f>MID(Q13, LEN(Q13)-4, 4)</f>
        <v>2047</v>
      </c>
      <c r="T13" s="1">
        <v>36803</v>
      </c>
      <c r="U13" s="1">
        <v>0</v>
      </c>
      <c r="V13" s="1">
        <v>12000</v>
      </c>
      <c r="W13" s="1">
        <v>0</v>
      </c>
      <c r="X13" s="1">
        <v>32492</v>
      </c>
      <c r="Y13" s="1" t="s">
        <v>1</v>
      </c>
      <c r="Z13" s="1" t="s">
        <v>153</v>
      </c>
      <c r="AA13" s="1" t="s">
        <v>153</v>
      </c>
      <c r="AB13" s="1" t="s">
        <v>227</v>
      </c>
      <c r="AC13" s="1" t="s">
        <v>398</v>
      </c>
    </row>
    <row r="14" spans="1:29" s="1" customFormat="1" x14ac:dyDescent="0.25">
      <c r="A14" s="1" t="s">
        <v>397</v>
      </c>
      <c r="B14" s="1">
        <v>24.31</v>
      </c>
      <c r="C14" s="1" t="s">
        <v>264</v>
      </c>
      <c r="D14" s="1" t="s">
        <v>263</v>
      </c>
      <c r="E14" s="1" t="s">
        <v>69</v>
      </c>
      <c r="F14" s="1">
        <v>2.98</v>
      </c>
      <c r="G14" s="1">
        <v>1.68</v>
      </c>
      <c r="H14" s="1">
        <v>1.3</v>
      </c>
      <c r="I14" s="1">
        <v>21.75</v>
      </c>
      <c r="J14" s="1" t="s">
        <v>5</v>
      </c>
      <c r="K14" s="1">
        <v>1700</v>
      </c>
      <c r="L14" s="1">
        <v>0</v>
      </c>
      <c r="M14" s="1" t="s">
        <v>262</v>
      </c>
      <c r="N14" s="1" t="s">
        <v>63</v>
      </c>
      <c r="O14" s="1" t="str">
        <f>LEFT(N14,4)</f>
        <v>2022</v>
      </c>
      <c r="P14" s="1" t="str">
        <f>MID(N14, LEN(N14)-4, 4)</f>
        <v>2026</v>
      </c>
      <c r="Q14" s="1" t="s">
        <v>338</v>
      </c>
      <c r="R14" s="1" t="str">
        <f>LEFT(Q14,4)</f>
        <v>2022</v>
      </c>
      <c r="S14" s="1" t="str">
        <f>MID(Q14, LEN(Q14)-4, 4)</f>
        <v>2047</v>
      </c>
      <c r="T14" s="1">
        <v>119014</v>
      </c>
      <c r="U14" s="1">
        <v>46014</v>
      </c>
      <c r="V14" s="1">
        <v>73000</v>
      </c>
      <c r="W14" s="1">
        <v>0</v>
      </c>
      <c r="X14" s="1">
        <v>173778.79</v>
      </c>
      <c r="Y14" s="1" t="s">
        <v>1</v>
      </c>
      <c r="Z14" s="1" t="s">
        <v>153</v>
      </c>
      <c r="AA14" s="1" t="s">
        <v>153</v>
      </c>
      <c r="AB14" s="1" t="s">
        <v>185</v>
      </c>
      <c r="AC14" s="1" t="s">
        <v>237</v>
      </c>
    </row>
    <row r="15" spans="1:29" s="1" customFormat="1" x14ac:dyDescent="0.25">
      <c r="A15" s="1" t="s">
        <v>369</v>
      </c>
      <c r="B15" s="1">
        <v>208.8</v>
      </c>
      <c r="C15" s="1" t="s">
        <v>264</v>
      </c>
      <c r="D15" s="1" t="s">
        <v>263</v>
      </c>
      <c r="E15" s="1" t="s">
        <v>69</v>
      </c>
      <c r="F15" s="1">
        <v>2.98</v>
      </c>
      <c r="G15" s="1">
        <v>1.68</v>
      </c>
      <c r="H15" s="1">
        <v>1.3</v>
      </c>
      <c r="I15" s="1">
        <v>21.75</v>
      </c>
      <c r="J15" s="1" t="s">
        <v>5</v>
      </c>
      <c r="K15" s="1">
        <v>3300</v>
      </c>
      <c r="L15" s="1">
        <v>0</v>
      </c>
      <c r="M15" s="1" t="s">
        <v>262</v>
      </c>
      <c r="N15" s="1" t="s">
        <v>63</v>
      </c>
      <c r="O15" s="1" t="str">
        <f>LEFT(N15,4)</f>
        <v>2022</v>
      </c>
      <c r="P15" s="1" t="str">
        <f>MID(N15, LEN(N15)-4, 4)</f>
        <v>2026</v>
      </c>
      <c r="Q15" s="1" t="s">
        <v>338</v>
      </c>
      <c r="R15" s="1" t="str">
        <f>LEFT(Q15,4)</f>
        <v>2022</v>
      </c>
      <c r="S15" s="1" t="str">
        <f>MID(Q15, LEN(Q15)-4, 4)</f>
        <v>2047</v>
      </c>
      <c r="T15" s="1">
        <v>119014</v>
      </c>
      <c r="U15" s="1">
        <v>46014</v>
      </c>
      <c r="V15" s="1">
        <v>73000</v>
      </c>
      <c r="W15" s="1">
        <v>0</v>
      </c>
      <c r="X15" s="1">
        <v>173778.79</v>
      </c>
      <c r="Y15" s="1" t="s">
        <v>1</v>
      </c>
      <c r="Z15" s="1" t="s">
        <v>153</v>
      </c>
      <c r="AA15" s="1" t="s">
        <v>153</v>
      </c>
      <c r="AB15" s="1" t="s">
        <v>185</v>
      </c>
      <c r="AC15" s="1" t="s">
        <v>237</v>
      </c>
    </row>
    <row r="16" spans="1:29" s="1" customFormat="1" x14ac:dyDescent="0.25">
      <c r="A16" s="1" t="s">
        <v>360</v>
      </c>
      <c r="B16" s="1">
        <v>281.42</v>
      </c>
      <c r="C16" s="1" t="s">
        <v>396</v>
      </c>
      <c r="D16" s="1" t="s">
        <v>393</v>
      </c>
      <c r="E16" s="1" t="s">
        <v>20</v>
      </c>
      <c r="F16" s="1">
        <v>0.79</v>
      </c>
      <c r="G16" s="1">
        <v>0.19</v>
      </c>
      <c r="H16" s="1">
        <v>0.6</v>
      </c>
      <c r="I16" s="1">
        <v>5.48</v>
      </c>
      <c r="J16" s="1" t="s">
        <v>5</v>
      </c>
      <c r="K16" s="1">
        <v>1000</v>
      </c>
      <c r="L16" s="1">
        <v>0</v>
      </c>
      <c r="M16" s="1" t="s">
        <v>395</v>
      </c>
      <c r="N16" s="1" t="s">
        <v>391</v>
      </c>
      <c r="O16" s="1" t="str">
        <f>LEFT(N16,4)</f>
        <v>2024</v>
      </c>
      <c r="P16" s="1" t="str">
        <f>MID(N16, LEN(N16)-4, 4)</f>
        <v>2027</v>
      </c>
      <c r="Q16" s="1" t="s">
        <v>390</v>
      </c>
      <c r="R16" s="1" t="str">
        <f>LEFT(Q16,4)</f>
        <v>2024</v>
      </c>
      <c r="S16" s="1" t="str">
        <f>MID(Q16, LEN(Q16)-4, 4)</f>
        <v>2046</v>
      </c>
      <c r="T16" s="1">
        <v>23655.200000000001</v>
      </c>
      <c r="U16" s="1">
        <v>0</v>
      </c>
      <c r="V16" s="1">
        <v>18000</v>
      </c>
      <c r="W16" s="1">
        <v>0</v>
      </c>
      <c r="X16" s="1">
        <v>51029.62</v>
      </c>
      <c r="Y16" s="1" t="s">
        <v>1</v>
      </c>
      <c r="Z16" s="1" t="s">
        <v>153</v>
      </c>
      <c r="AA16" s="1" t="s">
        <v>153</v>
      </c>
      <c r="AB16" s="1" t="s">
        <v>203</v>
      </c>
      <c r="AC16" s="1" t="s">
        <v>389</v>
      </c>
    </row>
    <row r="17" spans="1:29" s="1" customFormat="1" x14ac:dyDescent="0.25">
      <c r="A17" s="1" t="s">
        <v>369</v>
      </c>
      <c r="B17" s="1">
        <v>208.8</v>
      </c>
      <c r="C17" s="1" t="s">
        <v>396</v>
      </c>
      <c r="D17" s="1" t="s">
        <v>393</v>
      </c>
      <c r="E17" s="1" t="s">
        <v>20</v>
      </c>
      <c r="F17" s="1">
        <v>0.79</v>
      </c>
      <c r="G17" s="1">
        <v>0.19</v>
      </c>
      <c r="H17" s="1">
        <v>0.6</v>
      </c>
      <c r="I17" s="1">
        <v>5.48</v>
      </c>
      <c r="J17" s="1" t="s">
        <v>5</v>
      </c>
      <c r="K17" s="1">
        <v>2800</v>
      </c>
      <c r="L17" s="1">
        <v>0</v>
      </c>
      <c r="M17" s="1" t="s">
        <v>395</v>
      </c>
      <c r="N17" s="1" t="s">
        <v>391</v>
      </c>
      <c r="O17" s="1" t="str">
        <f>LEFT(N17,4)</f>
        <v>2024</v>
      </c>
      <c r="P17" s="1" t="str">
        <f>MID(N17, LEN(N17)-4, 4)</f>
        <v>2027</v>
      </c>
      <c r="Q17" s="1" t="s">
        <v>390</v>
      </c>
      <c r="R17" s="1" t="str">
        <f>LEFT(Q17,4)</f>
        <v>2024</v>
      </c>
      <c r="S17" s="1" t="str">
        <f>MID(Q17, LEN(Q17)-4, 4)</f>
        <v>2046</v>
      </c>
      <c r="T17" s="1">
        <v>23655.200000000001</v>
      </c>
      <c r="U17" s="1">
        <v>0</v>
      </c>
      <c r="V17" s="1">
        <v>18000</v>
      </c>
      <c r="W17" s="1">
        <v>0</v>
      </c>
      <c r="X17" s="1">
        <v>51029.62</v>
      </c>
      <c r="Y17" s="1" t="s">
        <v>1</v>
      </c>
      <c r="Z17" s="1" t="s">
        <v>153</v>
      </c>
      <c r="AA17" s="1" t="s">
        <v>153</v>
      </c>
      <c r="AB17" s="1" t="s">
        <v>203</v>
      </c>
      <c r="AC17" s="1" t="s">
        <v>389</v>
      </c>
    </row>
    <row r="18" spans="1:29" s="1" customFormat="1" x14ac:dyDescent="0.25">
      <c r="A18" s="1" t="s">
        <v>360</v>
      </c>
      <c r="B18" s="1">
        <v>281.42</v>
      </c>
      <c r="C18" s="1" t="s">
        <v>394</v>
      </c>
      <c r="D18" s="1" t="s">
        <v>393</v>
      </c>
      <c r="E18" s="1" t="s">
        <v>20</v>
      </c>
      <c r="F18" s="1">
        <v>1.1000000000000001</v>
      </c>
      <c r="G18" s="1">
        <v>0.2</v>
      </c>
      <c r="H18" s="1">
        <v>0.9</v>
      </c>
      <c r="I18" s="1">
        <v>7.17</v>
      </c>
      <c r="J18" s="1" t="s">
        <v>5</v>
      </c>
      <c r="K18" s="1">
        <v>1000</v>
      </c>
      <c r="L18" s="1">
        <v>0</v>
      </c>
      <c r="M18" s="1" t="s">
        <v>392</v>
      </c>
      <c r="N18" s="1" t="s">
        <v>391</v>
      </c>
      <c r="O18" s="1" t="str">
        <f>LEFT(N18,4)</f>
        <v>2024</v>
      </c>
      <c r="P18" s="1" t="str">
        <f>MID(N18, LEN(N18)-4, 4)</f>
        <v>2027</v>
      </c>
      <c r="Q18" s="1" t="s">
        <v>390</v>
      </c>
      <c r="R18" s="1" t="str">
        <f>LEFT(Q18,4)</f>
        <v>2024</v>
      </c>
      <c r="S18" s="1" t="str">
        <f>MID(Q18, LEN(Q18)-4, 4)</f>
        <v>2046</v>
      </c>
      <c r="T18" s="1">
        <v>35581.199999999997</v>
      </c>
      <c r="U18" s="1">
        <v>0</v>
      </c>
      <c r="V18" s="1">
        <v>28000</v>
      </c>
      <c r="W18" s="1">
        <v>0</v>
      </c>
      <c r="X18" s="1">
        <v>68856.83</v>
      </c>
      <c r="Y18" s="1" t="s">
        <v>1</v>
      </c>
      <c r="Z18" s="1" t="s">
        <v>153</v>
      </c>
      <c r="AA18" s="1" t="s">
        <v>153</v>
      </c>
      <c r="AB18" s="1" t="s">
        <v>203</v>
      </c>
      <c r="AC18" s="1" t="s">
        <v>389</v>
      </c>
    </row>
    <row r="19" spans="1:29" s="1" customFormat="1" x14ac:dyDescent="0.25">
      <c r="A19" s="1" t="s">
        <v>369</v>
      </c>
      <c r="B19" s="1">
        <v>208.8</v>
      </c>
      <c r="C19" s="1" t="s">
        <v>394</v>
      </c>
      <c r="D19" s="1" t="s">
        <v>393</v>
      </c>
      <c r="E19" s="1" t="s">
        <v>20</v>
      </c>
      <c r="F19" s="1">
        <v>1.1000000000000001</v>
      </c>
      <c r="G19" s="1">
        <v>0.2</v>
      </c>
      <c r="H19" s="1">
        <v>0.9</v>
      </c>
      <c r="I19" s="1">
        <v>7.17</v>
      </c>
      <c r="J19" s="1" t="s">
        <v>5</v>
      </c>
      <c r="K19" s="1">
        <v>2800</v>
      </c>
      <c r="L19" s="1">
        <v>0</v>
      </c>
      <c r="M19" s="1" t="s">
        <v>392</v>
      </c>
      <c r="N19" s="1" t="s">
        <v>391</v>
      </c>
      <c r="O19" s="1" t="str">
        <f>LEFT(N19,4)</f>
        <v>2024</v>
      </c>
      <c r="P19" s="1" t="str">
        <f>MID(N19, LEN(N19)-4, 4)</f>
        <v>2027</v>
      </c>
      <c r="Q19" s="1" t="s">
        <v>390</v>
      </c>
      <c r="R19" s="1" t="str">
        <f>LEFT(Q19,4)</f>
        <v>2024</v>
      </c>
      <c r="S19" s="1" t="str">
        <f>MID(Q19, LEN(Q19)-4, 4)</f>
        <v>2046</v>
      </c>
      <c r="T19" s="1">
        <v>35581.199999999997</v>
      </c>
      <c r="U19" s="1">
        <v>0</v>
      </c>
      <c r="V19" s="1">
        <v>28000</v>
      </c>
      <c r="W19" s="1">
        <v>0</v>
      </c>
      <c r="X19" s="1">
        <v>68856.83</v>
      </c>
      <c r="Y19" s="1" t="s">
        <v>1</v>
      </c>
      <c r="Z19" s="1" t="s">
        <v>153</v>
      </c>
      <c r="AA19" s="1" t="s">
        <v>153</v>
      </c>
      <c r="AB19" s="1" t="s">
        <v>203</v>
      </c>
      <c r="AC19" s="1" t="s">
        <v>389</v>
      </c>
    </row>
    <row r="20" spans="1:29" s="1" customFormat="1" x14ac:dyDescent="0.25">
      <c r="A20" s="1" t="s">
        <v>360</v>
      </c>
      <c r="B20" s="1">
        <v>281.42</v>
      </c>
      <c r="C20" s="1" t="s">
        <v>388</v>
      </c>
      <c r="D20" s="1" t="s">
        <v>387</v>
      </c>
      <c r="E20" s="1" t="s">
        <v>10</v>
      </c>
      <c r="F20" s="1">
        <v>4.5999999999999996</v>
      </c>
      <c r="G20" s="1">
        <v>2.2999999999999998</v>
      </c>
      <c r="H20" s="1">
        <v>2.2999999999999998</v>
      </c>
      <c r="I20" s="1">
        <v>9.43</v>
      </c>
      <c r="J20" s="1" t="s">
        <v>5</v>
      </c>
      <c r="K20" s="1">
        <v>5000</v>
      </c>
      <c r="L20" s="1">
        <v>0</v>
      </c>
      <c r="M20" s="1" t="s">
        <v>386</v>
      </c>
      <c r="N20" s="1" t="s">
        <v>101</v>
      </c>
      <c r="O20" s="1" t="str">
        <f>LEFT(N20,4)</f>
        <v>2022</v>
      </c>
      <c r="P20" s="1" t="str">
        <f>MID(N20, LEN(N20)-4, 4)</f>
        <v>2025</v>
      </c>
      <c r="Q20" s="1" t="s">
        <v>261</v>
      </c>
      <c r="R20" s="1" t="str">
        <f>LEFT(Q20,4)</f>
        <v>2022</v>
      </c>
      <c r="S20" s="1" t="str">
        <f>MID(Q20, LEN(Q20)-4, 4)</f>
        <v>2046</v>
      </c>
      <c r="T20" s="1">
        <v>58796</v>
      </c>
      <c r="U20" s="1">
        <v>28796</v>
      </c>
      <c r="V20" s="1">
        <v>30000</v>
      </c>
      <c r="W20" s="1">
        <v>0</v>
      </c>
      <c r="X20" s="1">
        <v>82808.960000000006</v>
      </c>
      <c r="Y20" s="1" t="s">
        <v>1</v>
      </c>
      <c r="Z20" s="1" t="s">
        <v>153</v>
      </c>
      <c r="AA20" s="1" t="s">
        <v>153</v>
      </c>
      <c r="AB20" s="1" t="s">
        <v>152</v>
      </c>
    </row>
    <row r="21" spans="1:29" s="1" customFormat="1" x14ac:dyDescent="0.25">
      <c r="A21" s="1" t="s">
        <v>358</v>
      </c>
      <c r="B21" s="1">
        <v>129.85</v>
      </c>
      <c r="C21" s="1" t="s">
        <v>388</v>
      </c>
      <c r="D21" s="1" t="s">
        <v>387</v>
      </c>
      <c r="E21" s="1" t="s">
        <v>10</v>
      </c>
      <c r="F21" s="1">
        <v>4.5999999999999996</v>
      </c>
      <c r="G21" s="1">
        <v>2.2999999999999998</v>
      </c>
      <c r="H21" s="1">
        <v>2.2999999999999998</v>
      </c>
      <c r="I21" s="1">
        <v>9.43</v>
      </c>
      <c r="J21" s="1" t="s">
        <v>5</v>
      </c>
      <c r="K21" s="1">
        <v>7000</v>
      </c>
      <c r="L21" s="1">
        <v>0</v>
      </c>
      <c r="M21" s="1" t="s">
        <v>386</v>
      </c>
      <c r="N21" s="1" t="s">
        <v>101</v>
      </c>
      <c r="O21" s="1" t="str">
        <f>LEFT(N21,4)</f>
        <v>2022</v>
      </c>
      <c r="P21" s="1" t="str">
        <f>MID(N21, LEN(N21)-4, 4)</f>
        <v>2025</v>
      </c>
      <c r="Q21" s="1" t="s">
        <v>261</v>
      </c>
      <c r="R21" s="1" t="str">
        <f>LEFT(Q21,4)</f>
        <v>2022</v>
      </c>
      <c r="S21" s="1" t="str">
        <f>MID(Q21, LEN(Q21)-4, 4)</f>
        <v>2046</v>
      </c>
      <c r="T21" s="1">
        <v>58796</v>
      </c>
      <c r="U21" s="1">
        <v>28796</v>
      </c>
      <c r="V21" s="1">
        <v>30000</v>
      </c>
      <c r="W21" s="1">
        <v>0</v>
      </c>
      <c r="X21" s="1">
        <v>82808.960000000006</v>
      </c>
      <c r="Y21" s="1" t="s">
        <v>1</v>
      </c>
      <c r="Z21" s="1" t="s">
        <v>153</v>
      </c>
      <c r="AA21" s="1" t="s">
        <v>153</v>
      </c>
      <c r="AB21" s="1" t="s">
        <v>152</v>
      </c>
    </row>
    <row r="22" spans="1:29" s="1" customFormat="1" x14ac:dyDescent="0.25">
      <c r="A22" s="1" t="s">
        <v>385</v>
      </c>
      <c r="B22" s="1">
        <v>98.02</v>
      </c>
      <c r="C22" s="1" t="s">
        <v>240</v>
      </c>
      <c r="D22" s="1" t="s">
        <v>239</v>
      </c>
      <c r="E22" s="1" t="s">
        <v>20</v>
      </c>
      <c r="F22" s="1">
        <v>1.38</v>
      </c>
      <c r="G22" s="1">
        <v>0.88</v>
      </c>
      <c r="H22" s="1">
        <v>0.5</v>
      </c>
      <c r="I22" s="1">
        <v>1.1499999999999999</v>
      </c>
      <c r="J22" s="1" t="s">
        <v>5</v>
      </c>
      <c r="K22" s="1">
        <v>1000</v>
      </c>
      <c r="L22" s="1">
        <v>0</v>
      </c>
      <c r="M22" s="1" t="s">
        <v>238</v>
      </c>
      <c r="N22" s="1" t="s">
        <v>101</v>
      </c>
      <c r="O22" s="1" t="str">
        <f>LEFT(N22,4)</f>
        <v>2022</v>
      </c>
      <c r="P22" s="1" t="str">
        <f>MID(N22, LEN(N22)-4, 4)</f>
        <v>2025</v>
      </c>
      <c r="Q22" s="1" t="s">
        <v>261</v>
      </c>
      <c r="R22" s="1" t="str">
        <f>LEFT(Q22,4)</f>
        <v>2022</v>
      </c>
      <c r="S22" s="1" t="str">
        <f>MID(Q22, LEN(Q22)-4, 4)</f>
        <v>2046</v>
      </c>
      <c r="T22" s="1">
        <v>26667</v>
      </c>
      <c r="U22" s="1">
        <v>20823</v>
      </c>
      <c r="V22" s="1">
        <v>5000</v>
      </c>
      <c r="W22" s="1">
        <v>0</v>
      </c>
      <c r="X22" s="1">
        <v>11132.86</v>
      </c>
      <c r="Y22" s="1" t="s">
        <v>1</v>
      </c>
      <c r="Z22" s="1" t="s">
        <v>153</v>
      </c>
      <c r="AA22" s="1" t="s">
        <v>153</v>
      </c>
      <c r="AB22" s="1" t="s">
        <v>185</v>
      </c>
      <c r="AC22" s="1" t="s">
        <v>237</v>
      </c>
    </row>
    <row r="23" spans="1:29" s="1" customFormat="1" x14ac:dyDescent="0.25">
      <c r="A23" s="1" t="s">
        <v>360</v>
      </c>
      <c r="B23" s="1">
        <v>281.42</v>
      </c>
      <c r="C23" s="1" t="s">
        <v>337</v>
      </c>
      <c r="D23" s="1" t="s">
        <v>336</v>
      </c>
      <c r="E23" s="1" t="s">
        <v>188</v>
      </c>
      <c r="F23" s="1">
        <v>4.47</v>
      </c>
      <c r="G23" s="1">
        <v>1.87</v>
      </c>
      <c r="H23" s="1">
        <v>2.6</v>
      </c>
      <c r="I23" s="1">
        <v>12.66</v>
      </c>
      <c r="J23" s="1" t="s">
        <v>5</v>
      </c>
      <c r="K23" s="1">
        <v>10500</v>
      </c>
      <c r="L23" s="1">
        <v>0</v>
      </c>
      <c r="M23" s="1" t="s">
        <v>335</v>
      </c>
      <c r="N23" s="1" t="s">
        <v>63</v>
      </c>
      <c r="O23" s="1" t="str">
        <f>LEFT(N23,4)</f>
        <v>2022</v>
      </c>
      <c r="P23" s="1" t="str">
        <f>MID(N23, LEN(N23)-4, 4)</f>
        <v>2026</v>
      </c>
      <c r="Q23" s="1" t="s">
        <v>244</v>
      </c>
      <c r="R23" s="1" t="str">
        <f>LEFT(Q23,4)</f>
        <v>2022</v>
      </c>
      <c r="S23" s="1" t="str">
        <f>MID(Q23, LEN(Q23)-4, 4)</f>
        <v>2045</v>
      </c>
      <c r="T23" s="1">
        <v>73636</v>
      </c>
      <c r="U23" s="1">
        <v>32636</v>
      </c>
      <c r="V23" s="1">
        <v>41000</v>
      </c>
      <c r="W23" s="1">
        <v>0</v>
      </c>
      <c r="X23" s="1">
        <v>113739.72</v>
      </c>
      <c r="Y23" s="1" t="s">
        <v>1</v>
      </c>
      <c r="Z23" s="1" t="s">
        <v>153</v>
      </c>
      <c r="AA23" s="1" t="s">
        <v>153</v>
      </c>
      <c r="AB23" s="1" t="s">
        <v>152</v>
      </c>
      <c r="AC23" s="1" t="s">
        <v>265</v>
      </c>
    </row>
    <row r="24" spans="1:29" s="1" customFormat="1" x14ac:dyDescent="0.25">
      <c r="A24" s="1" t="s">
        <v>373</v>
      </c>
      <c r="B24" s="1">
        <v>182.93</v>
      </c>
      <c r="C24" s="1" t="s">
        <v>337</v>
      </c>
      <c r="D24" s="1" t="s">
        <v>336</v>
      </c>
      <c r="E24" s="1" t="s">
        <v>188</v>
      </c>
      <c r="F24" s="1">
        <v>4.47</v>
      </c>
      <c r="G24" s="1">
        <v>1.87</v>
      </c>
      <c r="H24" s="1">
        <v>2.6</v>
      </c>
      <c r="I24" s="1">
        <v>12.66</v>
      </c>
      <c r="J24" s="1" t="s">
        <v>5</v>
      </c>
      <c r="K24" s="1">
        <v>5500</v>
      </c>
      <c r="L24" s="1">
        <v>0</v>
      </c>
      <c r="M24" s="1" t="s">
        <v>335</v>
      </c>
      <c r="N24" s="1" t="s">
        <v>63</v>
      </c>
      <c r="O24" s="1" t="str">
        <f>LEFT(N24,4)</f>
        <v>2022</v>
      </c>
      <c r="P24" s="1" t="str">
        <f>MID(N24, LEN(N24)-4, 4)</f>
        <v>2026</v>
      </c>
      <c r="Q24" s="1" t="s">
        <v>244</v>
      </c>
      <c r="R24" s="1" t="str">
        <f>LEFT(Q24,4)</f>
        <v>2022</v>
      </c>
      <c r="S24" s="1" t="str">
        <f>MID(Q24, LEN(Q24)-4, 4)</f>
        <v>2045</v>
      </c>
      <c r="T24" s="1">
        <v>73636</v>
      </c>
      <c r="U24" s="1">
        <v>32636</v>
      </c>
      <c r="V24" s="1">
        <v>41000</v>
      </c>
      <c r="W24" s="1">
        <v>0</v>
      </c>
      <c r="X24" s="1">
        <v>113739.72</v>
      </c>
      <c r="Y24" s="1" t="s">
        <v>1</v>
      </c>
      <c r="Z24" s="1" t="s">
        <v>153</v>
      </c>
      <c r="AA24" s="1" t="s">
        <v>153</v>
      </c>
      <c r="AB24" s="1" t="s">
        <v>152</v>
      </c>
      <c r="AC24" s="1" t="s">
        <v>265</v>
      </c>
    </row>
    <row r="25" spans="1:29" s="1" customFormat="1" x14ac:dyDescent="0.25">
      <c r="A25" s="1" t="s">
        <v>360</v>
      </c>
      <c r="B25" s="1">
        <v>281.42</v>
      </c>
      <c r="C25" s="1" t="s">
        <v>222</v>
      </c>
      <c r="D25" s="1" t="s">
        <v>221</v>
      </c>
      <c r="E25" s="1" t="s">
        <v>69</v>
      </c>
      <c r="F25" s="1">
        <v>5.88</v>
      </c>
      <c r="G25" s="1">
        <v>1.38</v>
      </c>
      <c r="H25" s="1">
        <v>4.5</v>
      </c>
      <c r="I25" s="1">
        <v>16.52</v>
      </c>
      <c r="J25" s="1" t="s">
        <v>5</v>
      </c>
      <c r="K25" s="1">
        <v>28000</v>
      </c>
      <c r="L25" s="1">
        <v>0</v>
      </c>
      <c r="M25" s="1" t="s">
        <v>384</v>
      </c>
      <c r="N25" s="1" t="s">
        <v>63</v>
      </c>
      <c r="O25" s="1" t="str">
        <f>LEFT(N25,4)</f>
        <v>2022</v>
      </c>
      <c r="P25" s="1" t="str">
        <f>MID(N25, LEN(N25)-4, 4)</f>
        <v>2026</v>
      </c>
      <c r="Q25" s="1" t="s">
        <v>244</v>
      </c>
      <c r="R25" s="1" t="str">
        <f>LEFT(Q25,4)</f>
        <v>2022</v>
      </c>
      <c r="S25" s="1" t="str">
        <f>MID(Q25, LEN(Q25)-4, 4)</f>
        <v>2045</v>
      </c>
      <c r="T25" s="1">
        <v>69100</v>
      </c>
      <c r="U25" s="1">
        <v>0</v>
      </c>
      <c r="V25" s="1">
        <v>48000</v>
      </c>
      <c r="W25" s="1">
        <v>0</v>
      </c>
      <c r="X25" s="1">
        <v>142353</v>
      </c>
      <c r="Y25" s="1" t="s">
        <v>1</v>
      </c>
      <c r="Z25" s="1" t="s">
        <v>153</v>
      </c>
      <c r="AA25" s="1" t="s">
        <v>153</v>
      </c>
      <c r="AB25" s="1" t="s">
        <v>176</v>
      </c>
      <c r="AC25" s="1" t="s">
        <v>219</v>
      </c>
    </row>
    <row r="26" spans="1:29" s="1" customFormat="1" x14ac:dyDescent="0.25">
      <c r="A26" s="1" t="s">
        <v>360</v>
      </c>
      <c r="B26" s="1">
        <v>281.42</v>
      </c>
      <c r="C26" s="1" t="s">
        <v>383</v>
      </c>
      <c r="D26" s="1" t="s">
        <v>382</v>
      </c>
      <c r="E26" s="1" t="s">
        <v>10</v>
      </c>
      <c r="F26" s="1">
        <v>5.61</v>
      </c>
      <c r="G26" s="1">
        <v>3.16</v>
      </c>
      <c r="H26" s="1">
        <v>2.4500000000000002</v>
      </c>
      <c r="I26" s="1">
        <v>8.07</v>
      </c>
      <c r="J26" s="1" t="s">
        <v>5</v>
      </c>
      <c r="K26" s="1">
        <v>3000</v>
      </c>
      <c r="L26" s="1">
        <v>0</v>
      </c>
      <c r="M26" s="1" t="s">
        <v>381</v>
      </c>
      <c r="N26" s="1" t="s">
        <v>63</v>
      </c>
      <c r="O26" s="1" t="str">
        <f>LEFT(N26,4)</f>
        <v>2022</v>
      </c>
      <c r="P26" s="1" t="str">
        <f>MID(N26, LEN(N26)-4, 4)</f>
        <v>2026</v>
      </c>
      <c r="Q26" s="1" t="s">
        <v>244</v>
      </c>
      <c r="R26" s="1" t="str">
        <f>LEFT(Q26,4)</f>
        <v>2022</v>
      </c>
      <c r="S26" s="1" t="str">
        <f>MID(Q26, LEN(Q26)-4, 4)</f>
        <v>2045</v>
      </c>
      <c r="T26" s="1">
        <v>70151</v>
      </c>
      <c r="U26" s="1">
        <v>45151</v>
      </c>
      <c r="V26" s="1">
        <v>25000</v>
      </c>
      <c r="W26" s="1">
        <v>0</v>
      </c>
      <c r="X26" s="1">
        <v>66251.08</v>
      </c>
      <c r="Y26" s="1" t="s">
        <v>1</v>
      </c>
      <c r="Z26" s="1" t="s">
        <v>153</v>
      </c>
      <c r="AA26" s="1" t="s">
        <v>153</v>
      </c>
      <c r="AB26" s="1" t="s">
        <v>152</v>
      </c>
    </row>
    <row r="27" spans="1:29" s="1" customFormat="1" x14ac:dyDescent="0.25">
      <c r="A27" s="1" t="s">
        <v>358</v>
      </c>
      <c r="B27" s="1">
        <v>129.85</v>
      </c>
      <c r="C27" s="1" t="s">
        <v>383</v>
      </c>
      <c r="D27" s="1" t="s">
        <v>382</v>
      </c>
      <c r="E27" s="1" t="s">
        <v>10</v>
      </c>
      <c r="F27" s="1">
        <v>5.61</v>
      </c>
      <c r="G27" s="1">
        <v>3.16</v>
      </c>
      <c r="H27" s="1">
        <v>2.4500000000000002</v>
      </c>
      <c r="I27" s="1">
        <v>8.07</v>
      </c>
      <c r="J27" s="1" t="s">
        <v>5</v>
      </c>
      <c r="K27" s="1">
        <v>9000</v>
      </c>
      <c r="L27" s="1">
        <v>0</v>
      </c>
      <c r="M27" s="1" t="s">
        <v>381</v>
      </c>
      <c r="N27" s="1" t="s">
        <v>63</v>
      </c>
      <c r="O27" s="1" t="str">
        <f>LEFT(N27,4)</f>
        <v>2022</v>
      </c>
      <c r="P27" s="1" t="str">
        <f>MID(N27, LEN(N27)-4, 4)</f>
        <v>2026</v>
      </c>
      <c r="Q27" s="1" t="s">
        <v>244</v>
      </c>
      <c r="R27" s="1" t="str">
        <f>LEFT(Q27,4)</f>
        <v>2022</v>
      </c>
      <c r="S27" s="1" t="str">
        <f>MID(Q27, LEN(Q27)-4, 4)</f>
        <v>2045</v>
      </c>
      <c r="T27" s="1">
        <v>70151</v>
      </c>
      <c r="U27" s="1">
        <v>45151</v>
      </c>
      <c r="V27" s="1">
        <v>25000</v>
      </c>
      <c r="W27" s="1">
        <v>0</v>
      </c>
      <c r="X27" s="1">
        <v>66251.08</v>
      </c>
      <c r="Y27" s="1" t="s">
        <v>1</v>
      </c>
      <c r="Z27" s="1" t="s">
        <v>153</v>
      </c>
      <c r="AA27" s="1" t="s">
        <v>153</v>
      </c>
      <c r="AB27" s="1" t="s">
        <v>152</v>
      </c>
    </row>
    <row r="28" spans="1:29" s="1" customFormat="1" x14ac:dyDescent="0.25">
      <c r="A28" s="1" t="s">
        <v>365</v>
      </c>
      <c r="B28" s="1">
        <v>163.44</v>
      </c>
      <c r="C28" s="1" t="s">
        <v>380</v>
      </c>
      <c r="D28" s="1" t="s">
        <v>379</v>
      </c>
      <c r="E28" s="1" t="s">
        <v>378</v>
      </c>
      <c r="F28" s="1">
        <v>3.41</v>
      </c>
      <c r="G28" s="1">
        <v>2.0699999999999998</v>
      </c>
      <c r="H28" s="1">
        <v>1.34</v>
      </c>
      <c r="I28" s="1">
        <v>5.79</v>
      </c>
      <c r="J28" s="1" t="s">
        <v>5</v>
      </c>
      <c r="K28" s="1">
        <v>3000</v>
      </c>
      <c r="L28" s="1">
        <v>0</v>
      </c>
      <c r="M28" s="1" t="s">
        <v>377</v>
      </c>
      <c r="N28" s="1" t="s">
        <v>101</v>
      </c>
      <c r="O28" s="1" t="str">
        <f>LEFT(N28,4)</f>
        <v>2022</v>
      </c>
      <c r="P28" s="1" t="str">
        <f>MID(N28, LEN(N28)-4, 4)</f>
        <v>2025</v>
      </c>
      <c r="Q28" s="1" t="s">
        <v>244</v>
      </c>
      <c r="R28" s="1" t="str">
        <f>LEFT(Q28,4)</f>
        <v>2022</v>
      </c>
      <c r="S28" s="1" t="str">
        <f>MID(Q28, LEN(Q28)-4, 4)</f>
        <v>2045</v>
      </c>
      <c r="T28" s="1">
        <v>34090</v>
      </c>
      <c r="U28" s="1">
        <v>20060</v>
      </c>
      <c r="V28" s="1">
        <v>13400</v>
      </c>
      <c r="W28" s="1">
        <v>0</v>
      </c>
      <c r="X28" s="1">
        <v>37062</v>
      </c>
      <c r="Y28" s="1" t="s">
        <v>1</v>
      </c>
      <c r="Z28" s="1" t="s">
        <v>153</v>
      </c>
      <c r="AA28" s="1" t="s">
        <v>153</v>
      </c>
      <c r="AB28" s="1" t="s">
        <v>376</v>
      </c>
    </row>
    <row r="29" spans="1:29" s="1" customFormat="1" x14ac:dyDescent="0.25">
      <c r="A29" s="1" t="s">
        <v>355</v>
      </c>
      <c r="B29" s="1">
        <v>158.94</v>
      </c>
      <c r="C29" s="1" t="s">
        <v>260</v>
      </c>
      <c r="D29" s="1" t="s">
        <v>257</v>
      </c>
      <c r="E29" s="1" t="s">
        <v>20</v>
      </c>
      <c r="F29" s="1">
        <v>4.5</v>
      </c>
      <c r="G29" s="1">
        <v>2</v>
      </c>
      <c r="H29" s="1">
        <v>2.5</v>
      </c>
      <c r="I29" s="1">
        <v>8.2899999999999991</v>
      </c>
      <c r="J29" s="1" t="s">
        <v>5</v>
      </c>
      <c r="K29" s="1">
        <v>3000</v>
      </c>
      <c r="L29" s="1">
        <v>0</v>
      </c>
      <c r="M29" s="1" t="s">
        <v>259</v>
      </c>
      <c r="N29" s="1" t="s">
        <v>101</v>
      </c>
      <c r="O29" s="1" t="str">
        <f>LEFT(N29,4)</f>
        <v>2022</v>
      </c>
      <c r="P29" s="1" t="str">
        <f>MID(N29, LEN(N29)-4, 4)</f>
        <v>2025</v>
      </c>
      <c r="Q29" s="1" t="s">
        <v>244</v>
      </c>
      <c r="R29" s="1" t="str">
        <f>LEFT(Q29,4)</f>
        <v>2022</v>
      </c>
      <c r="S29" s="1" t="str">
        <f>MID(Q29, LEN(Q29)-4, 4)</f>
        <v>2045</v>
      </c>
      <c r="T29" s="1">
        <v>58392</v>
      </c>
      <c r="U29" s="1">
        <v>0</v>
      </c>
      <c r="V29" s="1">
        <v>25000</v>
      </c>
      <c r="W29" s="1">
        <v>0</v>
      </c>
      <c r="X29" s="1">
        <v>69482.41</v>
      </c>
      <c r="Y29" s="1" t="s">
        <v>1</v>
      </c>
      <c r="Z29" s="1" t="s">
        <v>153</v>
      </c>
      <c r="AA29" s="1" t="s">
        <v>153</v>
      </c>
      <c r="AB29" s="1" t="s">
        <v>203</v>
      </c>
      <c r="AC29" s="1" t="s">
        <v>255</v>
      </c>
    </row>
    <row r="30" spans="1:29" s="1" customFormat="1" x14ac:dyDescent="0.25">
      <c r="A30" s="1" t="s">
        <v>373</v>
      </c>
      <c r="B30" s="1">
        <v>182.93</v>
      </c>
      <c r="C30" s="1" t="s">
        <v>334</v>
      </c>
      <c r="D30" s="1" t="s">
        <v>375</v>
      </c>
      <c r="E30" s="1" t="s">
        <v>69</v>
      </c>
      <c r="F30" s="1">
        <v>8.24</v>
      </c>
      <c r="G30" s="1">
        <v>5.14</v>
      </c>
      <c r="H30" s="1">
        <v>3.1</v>
      </c>
      <c r="I30" s="1">
        <v>14.01</v>
      </c>
      <c r="J30" s="1" t="s">
        <v>5</v>
      </c>
      <c r="K30" s="1">
        <v>7000</v>
      </c>
      <c r="L30" s="1">
        <v>0</v>
      </c>
      <c r="M30" s="1" t="s">
        <v>332</v>
      </c>
      <c r="N30" s="1" t="s">
        <v>101</v>
      </c>
      <c r="O30" s="1" t="str">
        <f>LEFT(N30,4)</f>
        <v>2022</v>
      </c>
      <c r="P30" s="1" t="str">
        <f>MID(N30, LEN(N30)-4, 4)</f>
        <v>2025</v>
      </c>
      <c r="Q30" s="1" t="s">
        <v>244</v>
      </c>
      <c r="R30" s="1" t="str">
        <f>LEFT(Q30,4)</f>
        <v>2022</v>
      </c>
      <c r="S30" s="1" t="str">
        <f>MID(Q30, LEN(Q30)-4, 4)</f>
        <v>2045</v>
      </c>
      <c r="T30" s="1">
        <v>94082.21</v>
      </c>
      <c r="U30" s="1">
        <v>0</v>
      </c>
      <c r="V30" s="1">
        <v>31000</v>
      </c>
      <c r="W30" s="1">
        <v>0</v>
      </c>
      <c r="X30" s="1">
        <v>79661.58</v>
      </c>
      <c r="Y30" s="1" t="s">
        <v>1</v>
      </c>
      <c r="Z30" s="1" t="s">
        <v>153</v>
      </c>
      <c r="AA30" s="1" t="s">
        <v>153</v>
      </c>
      <c r="AB30" s="1" t="s">
        <v>152</v>
      </c>
      <c r="AC30" s="1" t="s">
        <v>331</v>
      </c>
    </row>
    <row r="31" spans="1:29" s="1" customFormat="1" x14ac:dyDescent="0.25">
      <c r="A31" s="1" t="s">
        <v>355</v>
      </c>
      <c r="B31" s="1">
        <v>158.94</v>
      </c>
      <c r="C31" s="1" t="s">
        <v>334</v>
      </c>
      <c r="D31" s="1" t="s">
        <v>375</v>
      </c>
      <c r="E31" s="1" t="s">
        <v>69</v>
      </c>
      <c r="F31" s="1">
        <v>8.24</v>
      </c>
      <c r="G31" s="1">
        <v>5.14</v>
      </c>
      <c r="H31" s="1">
        <v>3.1</v>
      </c>
      <c r="I31" s="1">
        <v>14.01</v>
      </c>
      <c r="J31" s="1" t="s">
        <v>5</v>
      </c>
      <c r="K31" s="1">
        <v>5500</v>
      </c>
      <c r="L31" s="1">
        <v>0</v>
      </c>
      <c r="M31" s="1" t="s">
        <v>332</v>
      </c>
      <c r="N31" s="1" t="s">
        <v>101</v>
      </c>
      <c r="O31" s="1" t="str">
        <f>LEFT(N31,4)</f>
        <v>2022</v>
      </c>
      <c r="P31" s="1" t="str">
        <f>MID(N31, LEN(N31)-4, 4)</f>
        <v>2025</v>
      </c>
      <c r="Q31" s="1" t="s">
        <v>244</v>
      </c>
      <c r="R31" s="1" t="str">
        <f>LEFT(Q31,4)</f>
        <v>2022</v>
      </c>
      <c r="S31" s="1" t="str">
        <f>MID(Q31, LEN(Q31)-4, 4)</f>
        <v>2045</v>
      </c>
      <c r="T31" s="1">
        <v>94082.21</v>
      </c>
      <c r="U31" s="1">
        <v>0</v>
      </c>
      <c r="V31" s="1">
        <v>31000</v>
      </c>
      <c r="W31" s="1">
        <v>0</v>
      </c>
      <c r="X31" s="1">
        <v>79661.58</v>
      </c>
      <c r="Y31" s="1" t="s">
        <v>1</v>
      </c>
      <c r="Z31" s="1" t="s">
        <v>153</v>
      </c>
      <c r="AA31" s="1" t="s">
        <v>153</v>
      </c>
      <c r="AB31" s="1" t="s">
        <v>152</v>
      </c>
      <c r="AC31" s="1" t="s">
        <v>331</v>
      </c>
    </row>
    <row r="32" spans="1:29" s="1" customFormat="1" x14ac:dyDescent="0.25">
      <c r="A32" s="1" t="s">
        <v>355</v>
      </c>
      <c r="B32" s="1">
        <v>158.94</v>
      </c>
      <c r="C32" s="1" t="s">
        <v>254</v>
      </c>
      <c r="D32" s="1" t="s">
        <v>253</v>
      </c>
      <c r="E32" s="1" t="s">
        <v>10</v>
      </c>
      <c r="F32" s="1">
        <v>7.34</v>
      </c>
      <c r="G32" s="1">
        <v>2.54</v>
      </c>
      <c r="H32" s="1">
        <v>4.8</v>
      </c>
      <c r="I32" s="1">
        <v>16.97</v>
      </c>
      <c r="J32" s="1" t="s">
        <v>5</v>
      </c>
      <c r="K32" s="1">
        <v>8000</v>
      </c>
      <c r="L32" s="1">
        <v>0</v>
      </c>
      <c r="M32" s="1" t="s">
        <v>374</v>
      </c>
      <c r="N32" s="1" t="s">
        <v>101</v>
      </c>
      <c r="O32" s="1" t="str">
        <f>LEFT(N32,4)</f>
        <v>2022</v>
      </c>
      <c r="P32" s="1" t="str">
        <f>MID(N32, LEN(N32)-4, 4)</f>
        <v>2025</v>
      </c>
      <c r="Q32" s="1" t="s">
        <v>244</v>
      </c>
      <c r="R32" s="1" t="str">
        <f>LEFT(Q32,4)</f>
        <v>2022</v>
      </c>
      <c r="S32" s="1" t="str">
        <f>MID(Q32, LEN(Q32)-4, 4)</f>
        <v>2045</v>
      </c>
      <c r="T32" s="1">
        <v>100000</v>
      </c>
      <c r="U32" s="1">
        <v>0</v>
      </c>
      <c r="V32" s="1">
        <v>64500</v>
      </c>
      <c r="W32" s="1">
        <v>0</v>
      </c>
      <c r="X32" s="1">
        <v>165772.95000000001</v>
      </c>
      <c r="Y32" s="1" t="s">
        <v>1</v>
      </c>
      <c r="Z32" s="1" t="s">
        <v>153</v>
      </c>
      <c r="AA32" s="1" t="s">
        <v>153</v>
      </c>
      <c r="AB32" s="1" t="s">
        <v>203</v>
      </c>
    </row>
    <row r="33" spans="1:29" s="1" customFormat="1" x14ac:dyDescent="0.25">
      <c r="A33" s="1" t="s">
        <v>360</v>
      </c>
      <c r="B33" s="1">
        <v>281.42</v>
      </c>
      <c r="C33" s="1" t="s">
        <v>325</v>
      </c>
      <c r="D33" s="1" t="s">
        <v>294</v>
      </c>
      <c r="E33" s="1" t="s">
        <v>188</v>
      </c>
      <c r="F33" s="1">
        <v>3.45</v>
      </c>
      <c r="G33" s="1">
        <v>1.4</v>
      </c>
      <c r="H33" s="1">
        <v>2.0499999999999998</v>
      </c>
      <c r="I33" s="1">
        <v>8.7899999999999991</v>
      </c>
      <c r="J33" s="1" t="s">
        <v>5</v>
      </c>
      <c r="K33" s="1">
        <v>5500</v>
      </c>
      <c r="L33" s="1">
        <v>0</v>
      </c>
      <c r="M33" s="1" t="s">
        <v>324</v>
      </c>
      <c r="N33" s="1" t="s">
        <v>101</v>
      </c>
      <c r="O33" s="1" t="str">
        <f>LEFT(N33,4)</f>
        <v>2022</v>
      </c>
      <c r="P33" s="1" t="str">
        <f>MID(N33, LEN(N33)-4, 4)</f>
        <v>2025</v>
      </c>
      <c r="Q33" s="1" t="s">
        <v>244</v>
      </c>
      <c r="R33" s="1" t="str">
        <f>LEFT(Q33,4)</f>
        <v>2022</v>
      </c>
      <c r="S33" s="1" t="str">
        <f>MID(Q33, LEN(Q33)-4, 4)</f>
        <v>2045</v>
      </c>
      <c r="T33" s="1">
        <v>42965</v>
      </c>
      <c r="U33" s="1">
        <v>0</v>
      </c>
      <c r="V33" s="1">
        <v>24000</v>
      </c>
      <c r="W33" s="1">
        <v>0</v>
      </c>
      <c r="X33" s="1">
        <v>79589.45</v>
      </c>
      <c r="Y33" s="1" t="s">
        <v>1</v>
      </c>
      <c r="Z33" s="1" t="s">
        <v>153</v>
      </c>
      <c r="AA33" s="1" t="s">
        <v>153</v>
      </c>
      <c r="AB33" s="1" t="s">
        <v>152</v>
      </c>
    </row>
    <row r="34" spans="1:29" s="1" customFormat="1" x14ac:dyDescent="0.25">
      <c r="A34" s="1" t="s">
        <v>369</v>
      </c>
      <c r="B34" s="1">
        <v>208.8</v>
      </c>
      <c r="C34" s="1" t="s">
        <v>325</v>
      </c>
      <c r="D34" s="1" t="s">
        <v>294</v>
      </c>
      <c r="E34" s="1" t="s">
        <v>188</v>
      </c>
      <c r="F34" s="1">
        <v>3.45</v>
      </c>
      <c r="G34" s="1">
        <v>1.4</v>
      </c>
      <c r="H34" s="1">
        <v>2.0499999999999998</v>
      </c>
      <c r="I34" s="1">
        <v>8.7899999999999991</v>
      </c>
      <c r="J34" s="1" t="s">
        <v>5</v>
      </c>
      <c r="K34" s="1">
        <v>3500</v>
      </c>
      <c r="L34" s="1">
        <v>0</v>
      </c>
      <c r="M34" s="1" t="s">
        <v>324</v>
      </c>
      <c r="N34" s="1" t="s">
        <v>101</v>
      </c>
      <c r="O34" s="1" t="str">
        <f>LEFT(N34,4)</f>
        <v>2022</v>
      </c>
      <c r="P34" s="1" t="str">
        <f>MID(N34, LEN(N34)-4, 4)</f>
        <v>2025</v>
      </c>
      <c r="Q34" s="1" t="s">
        <v>244</v>
      </c>
      <c r="R34" s="1" t="str">
        <f>LEFT(Q34,4)</f>
        <v>2022</v>
      </c>
      <c r="S34" s="1" t="str">
        <f>MID(Q34, LEN(Q34)-4, 4)</f>
        <v>2045</v>
      </c>
      <c r="T34" s="1">
        <v>42965</v>
      </c>
      <c r="U34" s="1">
        <v>0</v>
      </c>
      <c r="V34" s="1">
        <v>24000</v>
      </c>
      <c r="W34" s="1">
        <v>0</v>
      </c>
      <c r="X34" s="1">
        <v>79589.45</v>
      </c>
      <c r="Y34" s="1" t="s">
        <v>1</v>
      </c>
      <c r="Z34" s="1" t="s">
        <v>153</v>
      </c>
      <c r="AA34" s="1" t="s">
        <v>153</v>
      </c>
      <c r="AB34" s="1" t="s">
        <v>152</v>
      </c>
    </row>
    <row r="35" spans="1:29" s="1" customFormat="1" x14ac:dyDescent="0.25">
      <c r="A35" s="1" t="s">
        <v>360</v>
      </c>
      <c r="B35" s="1">
        <v>281.42</v>
      </c>
      <c r="C35" s="1" t="s">
        <v>372</v>
      </c>
      <c r="D35" s="1" t="s">
        <v>371</v>
      </c>
      <c r="E35" s="1" t="s">
        <v>69</v>
      </c>
      <c r="F35" s="1">
        <v>3.6</v>
      </c>
      <c r="G35" s="1">
        <v>2</v>
      </c>
      <c r="H35" s="1">
        <v>1.6</v>
      </c>
      <c r="I35" s="1">
        <v>8.9499999999999993</v>
      </c>
      <c r="J35" s="1" t="s">
        <v>5</v>
      </c>
      <c r="K35" s="1">
        <v>6500</v>
      </c>
      <c r="L35" s="1">
        <v>0</v>
      </c>
      <c r="M35" s="1" t="s">
        <v>370</v>
      </c>
      <c r="N35" s="1" t="s">
        <v>101</v>
      </c>
      <c r="O35" s="1" t="str">
        <f>LEFT(N35,4)</f>
        <v>2022</v>
      </c>
      <c r="P35" s="1" t="str">
        <f>MID(N35, LEN(N35)-4, 4)</f>
        <v>2025</v>
      </c>
      <c r="Q35" s="1" t="s">
        <v>244</v>
      </c>
      <c r="R35" s="1" t="str">
        <f>LEFT(Q35,4)</f>
        <v>2022</v>
      </c>
      <c r="S35" s="1" t="str">
        <f>MID(Q35, LEN(Q35)-4, 4)</f>
        <v>2045</v>
      </c>
      <c r="T35" s="1">
        <v>53940</v>
      </c>
      <c r="U35" s="1">
        <v>25940</v>
      </c>
      <c r="V35" s="1">
        <v>28000</v>
      </c>
      <c r="W35" s="1">
        <v>0</v>
      </c>
      <c r="X35" s="1">
        <v>78352.149999999994</v>
      </c>
      <c r="Y35" s="1" t="s">
        <v>1</v>
      </c>
      <c r="Z35" s="1" t="s">
        <v>153</v>
      </c>
      <c r="AA35" s="1" t="s">
        <v>153</v>
      </c>
      <c r="AB35" s="1" t="s">
        <v>152</v>
      </c>
      <c r="AC35" s="1" t="s">
        <v>265</v>
      </c>
    </row>
    <row r="36" spans="1:29" s="1" customFormat="1" x14ac:dyDescent="0.25">
      <c r="A36" s="1" t="s">
        <v>373</v>
      </c>
      <c r="B36" s="1">
        <v>182.93</v>
      </c>
      <c r="C36" s="1" t="s">
        <v>372</v>
      </c>
      <c r="D36" s="1" t="s">
        <v>371</v>
      </c>
      <c r="E36" s="1" t="s">
        <v>69</v>
      </c>
      <c r="F36" s="1">
        <v>3.6</v>
      </c>
      <c r="G36" s="1">
        <v>2</v>
      </c>
      <c r="H36" s="1">
        <v>1.6</v>
      </c>
      <c r="I36" s="1">
        <v>8.9499999999999993</v>
      </c>
      <c r="J36" s="1" t="s">
        <v>5</v>
      </c>
      <c r="K36" s="1">
        <v>1500</v>
      </c>
      <c r="L36" s="1">
        <v>0</v>
      </c>
      <c r="M36" s="1" t="s">
        <v>370</v>
      </c>
      <c r="N36" s="1" t="s">
        <v>101</v>
      </c>
      <c r="O36" s="1" t="str">
        <f>LEFT(N36,4)</f>
        <v>2022</v>
      </c>
      <c r="P36" s="1" t="str">
        <f>MID(N36, LEN(N36)-4, 4)</f>
        <v>2025</v>
      </c>
      <c r="Q36" s="1" t="s">
        <v>244</v>
      </c>
      <c r="R36" s="1" t="str">
        <f>LEFT(Q36,4)</f>
        <v>2022</v>
      </c>
      <c r="S36" s="1" t="str">
        <f>MID(Q36, LEN(Q36)-4, 4)</f>
        <v>2045</v>
      </c>
      <c r="T36" s="1">
        <v>53940</v>
      </c>
      <c r="U36" s="1">
        <v>25940</v>
      </c>
      <c r="V36" s="1">
        <v>28000</v>
      </c>
      <c r="W36" s="1">
        <v>0</v>
      </c>
      <c r="X36" s="1">
        <v>78352.149999999994</v>
      </c>
      <c r="Y36" s="1" t="s">
        <v>1</v>
      </c>
      <c r="Z36" s="1" t="s">
        <v>153</v>
      </c>
      <c r="AA36" s="1" t="s">
        <v>153</v>
      </c>
      <c r="AB36" s="1" t="s">
        <v>152</v>
      </c>
      <c r="AC36" s="1" t="s">
        <v>265</v>
      </c>
    </row>
    <row r="37" spans="1:29" s="1" customFormat="1" x14ac:dyDescent="0.25">
      <c r="A37" s="1" t="s">
        <v>360</v>
      </c>
      <c r="B37" s="1">
        <v>281.42</v>
      </c>
      <c r="C37" s="1" t="s">
        <v>330</v>
      </c>
      <c r="D37" s="1" t="s">
        <v>329</v>
      </c>
      <c r="E37" s="1" t="s">
        <v>188</v>
      </c>
      <c r="F37" s="1">
        <v>4.67</v>
      </c>
      <c r="G37" s="1">
        <v>3.27</v>
      </c>
      <c r="H37" s="1">
        <v>1.4</v>
      </c>
      <c r="I37" s="1">
        <v>7.55</v>
      </c>
      <c r="J37" s="1" t="s">
        <v>5</v>
      </c>
      <c r="K37" s="1">
        <v>5000</v>
      </c>
      <c r="L37" s="1">
        <v>0</v>
      </c>
      <c r="M37" s="1" t="s">
        <v>324</v>
      </c>
      <c r="N37" s="1" t="s">
        <v>101</v>
      </c>
      <c r="O37" s="1" t="str">
        <f>LEFT(N37,4)</f>
        <v>2022</v>
      </c>
      <c r="P37" s="1" t="str">
        <f>MID(N37, LEN(N37)-4, 4)</f>
        <v>2025</v>
      </c>
      <c r="Q37" s="1" t="s">
        <v>244</v>
      </c>
      <c r="R37" s="1" t="str">
        <f>LEFT(Q37,4)</f>
        <v>2022</v>
      </c>
      <c r="S37" s="1" t="str">
        <f>MID(Q37, LEN(Q37)-4, 4)</f>
        <v>2045</v>
      </c>
      <c r="T37" s="1">
        <v>58347</v>
      </c>
      <c r="U37" s="1">
        <v>0</v>
      </c>
      <c r="V37" s="1">
        <v>17000</v>
      </c>
      <c r="W37" s="1">
        <v>0</v>
      </c>
      <c r="X37" s="1">
        <v>65880.12</v>
      </c>
      <c r="Y37" s="1" t="s">
        <v>1</v>
      </c>
      <c r="Z37" s="1" t="s">
        <v>153</v>
      </c>
      <c r="AA37" s="1" t="s">
        <v>153</v>
      </c>
      <c r="AB37" s="1" t="s">
        <v>152</v>
      </c>
    </row>
    <row r="38" spans="1:29" s="1" customFormat="1" x14ac:dyDescent="0.25">
      <c r="A38" s="1" t="s">
        <v>369</v>
      </c>
      <c r="B38" s="1">
        <v>208.8</v>
      </c>
      <c r="C38" s="1" t="s">
        <v>330</v>
      </c>
      <c r="D38" s="1" t="s">
        <v>329</v>
      </c>
      <c r="E38" s="1" t="s">
        <v>188</v>
      </c>
      <c r="F38" s="1">
        <v>4.67</v>
      </c>
      <c r="G38" s="1">
        <v>3.27</v>
      </c>
      <c r="H38" s="1">
        <v>1.4</v>
      </c>
      <c r="I38" s="1">
        <v>7.55</v>
      </c>
      <c r="J38" s="1" t="s">
        <v>5</v>
      </c>
      <c r="K38" s="1">
        <v>4900</v>
      </c>
      <c r="L38" s="1">
        <v>0</v>
      </c>
      <c r="M38" s="1" t="s">
        <v>324</v>
      </c>
      <c r="N38" s="1" t="s">
        <v>101</v>
      </c>
      <c r="O38" s="1" t="str">
        <f>LEFT(N38,4)</f>
        <v>2022</v>
      </c>
      <c r="P38" s="1" t="str">
        <f>MID(N38, LEN(N38)-4, 4)</f>
        <v>2025</v>
      </c>
      <c r="Q38" s="1" t="s">
        <v>244</v>
      </c>
      <c r="R38" s="1" t="str">
        <f>LEFT(Q38,4)</f>
        <v>2022</v>
      </c>
      <c r="S38" s="1" t="str">
        <f>MID(Q38, LEN(Q38)-4, 4)</f>
        <v>2045</v>
      </c>
      <c r="T38" s="1">
        <v>58347</v>
      </c>
      <c r="U38" s="1">
        <v>0</v>
      </c>
      <c r="V38" s="1">
        <v>17000</v>
      </c>
      <c r="W38" s="1">
        <v>0</v>
      </c>
      <c r="X38" s="1">
        <v>65880.12</v>
      </c>
      <c r="Y38" s="1" t="s">
        <v>1</v>
      </c>
      <c r="Z38" s="1" t="s">
        <v>153</v>
      </c>
      <c r="AA38" s="1" t="s">
        <v>153</v>
      </c>
      <c r="AB38" s="1" t="s">
        <v>152</v>
      </c>
    </row>
    <row r="39" spans="1:29" s="1" customFormat="1" x14ac:dyDescent="0.25">
      <c r="A39" s="1" t="s">
        <v>369</v>
      </c>
      <c r="B39" s="1">
        <v>208.8</v>
      </c>
      <c r="C39" s="1" t="s">
        <v>328</v>
      </c>
      <c r="D39" s="1" t="s">
        <v>322</v>
      </c>
      <c r="E39" s="1" t="s">
        <v>69</v>
      </c>
      <c r="F39" s="1">
        <v>5.5</v>
      </c>
      <c r="G39" s="1">
        <v>3.5</v>
      </c>
      <c r="H39" s="1">
        <v>2</v>
      </c>
      <c r="I39" s="1">
        <v>11.5</v>
      </c>
      <c r="J39" s="1" t="s">
        <v>5</v>
      </c>
      <c r="K39" s="1">
        <v>5000</v>
      </c>
      <c r="L39" s="1">
        <v>0</v>
      </c>
      <c r="M39" s="1" t="s">
        <v>321</v>
      </c>
      <c r="N39" s="1" t="s">
        <v>101</v>
      </c>
      <c r="O39" s="1" t="str">
        <f>LEFT(N39,4)</f>
        <v>2022</v>
      </c>
      <c r="P39" s="1" t="str">
        <f>MID(N39, LEN(N39)-4, 4)</f>
        <v>2025</v>
      </c>
      <c r="Q39" s="1" t="s">
        <v>244</v>
      </c>
      <c r="R39" s="1" t="str">
        <f>LEFT(Q39,4)</f>
        <v>2022</v>
      </c>
      <c r="S39" s="1" t="str">
        <f>MID(Q39, LEN(Q39)-4, 4)</f>
        <v>2045</v>
      </c>
      <c r="T39" s="1">
        <v>73378</v>
      </c>
      <c r="U39" s="1">
        <v>48378</v>
      </c>
      <c r="V39" s="1">
        <v>25000</v>
      </c>
      <c r="W39" s="1">
        <v>0</v>
      </c>
      <c r="X39" s="1">
        <v>69688.570000000007</v>
      </c>
      <c r="Y39" s="1" t="s">
        <v>1</v>
      </c>
      <c r="Z39" s="1" t="s">
        <v>153</v>
      </c>
      <c r="AA39" s="1" t="s">
        <v>153</v>
      </c>
      <c r="AB39" s="1" t="s">
        <v>152</v>
      </c>
      <c r="AC39" s="1" t="s">
        <v>272</v>
      </c>
    </row>
    <row r="40" spans="1:29" s="1" customFormat="1" x14ac:dyDescent="0.25">
      <c r="A40" s="1" t="s">
        <v>355</v>
      </c>
      <c r="B40" s="1">
        <v>158.94</v>
      </c>
      <c r="C40" s="1" t="s">
        <v>328</v>
      </c>
      <c r="D40" s="1" t="s">
        <v>322</v>
      </c>
      <c r="E40" s="1" t="s">
        <v>69</v>
      </c>
      <c r="F40" s="1">
        <v>5.5</v>
      </c>
      <c r="G40" s="1">
        <v>3.5</v>
      </c>
      <c r="H40" s="1">
        <v>2</v>
      </c>
      <c r="I40" s="1">
        <v>11.5</v>
      </c>
      <c r="J40" s="1" t="s">
        <v>5</v>
      </c>
      <c r="K40" s="1">
        <v>10000</v>
      </c>
      <c r="L40" s="1">
        <v>0</v>
      </c>
      <c r="M40" s="1" t="s">
        <v>321</v>
      </c>
      <c r="N40" s="1" t="s">
        <v>101</v>
      </c>
      <c r="O40" s="1" t="str">
        <f>LEFT(N40,4)</f>
        <v>2022</v>
      </c>
      <c r="P40" s="1" t="str">
        <f>MID(N40, LEN(N40)-4, 4)</f>
        <v>2025</v>
      </c>
      <c r="Q40" s="1" t="s">
        <v>244</v>
      </c>
      <c r="R40" s="1" t="str">
        <f>LEFT(Q40,4)</f>
        <v>2022</v>
      </c>
      <c r="S40" s="1" t="str">
        <f>MID(Q40, LEN(Q40)-4, 4)</f>
        <v>2045</v>
      </c>
      <c r="T40" s="1">
        <v>73378</v>
      </c>
      <c r="U40" s="1">
        <v>48378</v>
      </c>
      <c r="V40" s="1">
        <v>25000</v>
      </c>
      <c r="W40" s="1">
        <v>0</v>
      </c>
      <c r="X40" s="1">
        <v>69688.570000000007</v>
      </c>
      <c r="Y40" s="1" t="s">
        <v>1</v>
      </c>
      <c r="Z40" s="1" t="s">
        <v>153</v>
      </c>
      <c r="AA40" s="1" t="s">
        <v>153</v>
      </c>
      <c r="AB40" s="1" t="s">
        <v>152</v>
      </c>
      <c r="AC40" s="1" t="s">
        <v>272</v>
      </c>
    </row>
    <row r="41" spans="1:29" s="1" customFormat="1" x14ac:dyDescent="0.25">
      <c r="A41" s="1" t="s">
        <v>358</v>
      </c>
      <c r="B41" s="1">
        <v>129.85</v>
      </c>
      <c r="C41" s="1" t="s">
        <v>311</v>
      </c>
      <c r="D41" s="1" t="s">
        <v>310</v>
      </c>
      <c r="E41" s="1" t="s">
        <v>10</v>
      </c>
      <c r="F41" s="1">
        <v>4</v>
      </c>
      <c r="G41" s="1">
        <v>2.6</v>
      </c>
      <c r="H41" s="1">
        <v>1.4</v>
      </c>
      <c r="I41" s="1">
        <v>4.6500000000000004</v>
      </c>
      <c r="J41" s="1" t="s">
        <v>5</v>
      </c>
      <c r="K41" s="1">
        <v>3000</v>
      </c>
      <c r="L41" s="1">
        <v>0</v>
      </c>
      <c r="M41" s="1" t="s">
        <v>309</v>
      </c>
      <c r="N41" s="1" t="s">
        <v>119</v>
      </c>
      <c r="O41" s="1" t="str">
        <f>LEFT(N41,4)</f>
        <v>2021</v>
      </c>
      <c r="P41" s="1" t="str">
        <f>MID(N41, LEN(N41)-4, 4)</f>
        <v>2024</v>
      </c>
      <c r="Q41" s="1" t="s">
        <v>359</v>
      </c>
      <c r="R41" s="1" t="str">
        <f>LEFT(Q41,4)</f>
        <v>2021</v>
      </c>
      <c r="S41" s="1" t="str">
        <f>MID(Q41, LEN(Q41)-4, 4)</f>
        <v>2045</v>
      </c>
      <c r="T41" s="1">
        <v>40992.6</v>
      </c>
      <c r="U41" s="1">
        <v>0</v>
      </c>
      <c r="V41" s="1">
        <v>15000</v>
      </c>
      <c r="W41" s="1">
        <v>0</v>
      </c>
      <c r="X41" s="1">
        <v>44891.79</v>
      </c>
      <c r="Y41" s="1" t="s">
        <v>1</v>
      </c>
      <c r="Z41" s="1" t="s">
        <v>153</v>
      </c>
      <c r="AA41" s="1" t="s">
        <v>153</v>
      </c>
      <c r="AB41" s="1" t="s">
        <v>152</v>
      </c>
      <c r="AC41" s="1" t="s">
        <v>151</v>
      </c>
    </row>
    <row r="42" spans="1:29" s="1" customFormat="1" x14ac:dyDescent="0.25">
      <c r="A42" s="1" t="s">
        <v>360</v>
      </c>
      <c r="B42" s="1">
        <v>281.42</v>
      </c>
      <c r="C42" s="1" t="s">
        <v>368</v>
      </c>
      <c r="D42" s="1" t="s">
        <v>367</v>
      </c>
      <c r="E42" s="1" t="s">
        <v>10</v>
      </c>
      <c r="F42" s="1">
        <v>6.4</v>
      </c>
      <c r="G42" s="1">
        <v>1</v>
      </c>
      <c r="H42" s="1">
        <v>5.4</v>
      </c>
      <c r="I42" s="1">
        <v>23.77</v>
      </c>
      <c r="J42" s="1" t="s">
        <v>5</v>
      </c>
      <c r="K42" s="1">
        <v>17000</v>
      </c>
      <c r="L42" s="1">
        <v>0</v>
      </c>
      <c r="M42" s="1" t="s">
        <v>366</v>
      </c>
      <c r="N42" s="1" t="s">
        <v>74</v>
      </c>
      <c r="O42" s="1" t="str">
        <f>LEFT(N42,4)</f>
        <v>2022</v>
      </c>
      <c r="P42" s="1" t="str">
        <f>MID(N42, LEN(N42)-4, 4)</f>
        <v>2024</v>
      </c>
      <c r="Q42" s="1" t="s">
        <v>244</v>
      </c>
      <c r="R42" s="1" t="str">
        <f>LEFT(Q42,4)</f>
        <v>2022</v>
      </c>
      <c r="S42" s="1" t="str">
        <f>MID(Q42, LEN(Q42)-4, 4)</f>
        <v>2045</v>
      </c>
      <c r="T42" s="1">
        <v>122273</v>
      </c>
      <c r="U42" s="1">
        <v>39773</v>
      </c>
      <c r="V42" s="1">
        <v>82500</v>
      </c>
      <c r="W42" s="1">
        <v>0</v>
      </c>
      <c r="X42" s="1">
        <v>225813.09</v>
      </c>
      <c r="Y42" s="1" t="s">
        <v>1</v>
      </c>
      <c r="Z42" s="1" t="s">
        <v>153</v>
      </c>
      <c r="AA42" s="1" t="s">
        <v>153</v>
      </c>
      <c r="AB42" s="1" t="s">
        <v>196</v>
      </c>
    </row>
    <row r="43" spans="1:29" s="1" customFormat="1" x14ac:dyDescent="0.25">
      <c r="A43" s="1" t="s">
        <v>369</v>
      </c>
      <c r="B43" s="1">
        <v>208.8</v>
      </c>
      <c r="C43" s="1" t="s">
        <v>368</v>
      </c>
      <c r="D43" s="1" t="s">
        <v>367</v>
      </c>
      <c r="E43" s="1" t="s">
        <v>10</v>
      </c>
      <c r="F43" s="1">
        <v>6.4</v>
      </c>
      <c r="G43" s="1">
        <v>1</v>
      </c>
      <c r="H43" s="1">
        <v>5.4</v>
      </c>
      <c r="I43" s="1">
        <v>23.77</v>
      </c>
      <c r="J43" s="1" t="s">
        <v>5</v>
      </c>
      <c r="K43" s="1">
        <v>6000</v>
      </c>
      <c r="L43" s="1">
        <v>0</v>
      </c>
      <c r="M43" s="1" t="s">
        <v>366</v>
      </c>
      <c r="N43" s="1" t="s">
        <v>74</v>
      </c>
      <c r="O43" s="1" t="str">
        <f>LEFT(N43,4)</f>
        <v>2022</v>
      </c>
      <c r="P43" s="1" t="str">
        <f>MID(N43, LEN(N43)-4, 4)</f>
        <v>2024</v>
      </c>
      <c r="Q43" s="1" t="s">
        <v>244</v>
      </c>
      <c r="R43" s="1" t="str">
        <f>LEFT(Q43,4)</f>
        <v>2022</v>
      </c>
      <c r="S43" s="1" t="str">
        <f>MID(Q43, LEN(Q43)-4, 4)</f>
        <v>2045</v>
      </c>
      <c r="T43" s="1">
        <v>122273</v>
      </c>
      <c r="U43" s="1">
        <v>39773</v>
      </c>
      <c r="V43" s="1">
        <v>82500</v>
      </c>
      <c r="W43" s="1">
        <v>0</v>
      </c>
      <c r="X43" s="1">
        <v>225813.09</v>
      </c>
      <c r="Y43" s="1" t="s">
        <v>1</v>
      </c>
      <c r="Z43" s="1" t="s">
        <v>153</v>
      </c>
      <c r="AA43" s="1" t="s">
        <v>153</v>
      </c>
      <c r="AB43" s="1" t="s">
        <v>196</v>
      </c>
    </row>
    <row r="44" spans="1:29" s="1" customFormat="1" x14ac:dyDescent="0.25">
      <c r="A44" s="1" t="s">
        <v>365</v>
      </c>
      <c r="B44" s="1">
        <v>163.44</v>
      </c>
      <c r="C44" s="1" t="s">
        <v>231</v>
      </c>
      <c r="D44" s="1" t="s">
        <v>230</v>
      </c>
      <c r="E44" s="1" t="s">
        <v>20</v>
      </c>
      <c r="F44" s="1">
        <v>2.8</v>
      </c>
      <c r="G44" s="1">
        <v>1</v>
      </c>
      <c r="H44" s="1">
        <v>1.8</v>
      </c>
      <c r="I44" s="1">
        <v>8.9600000000000009</v>
      </c>
      <c r="J44" s="1" t="s">
        <v>5</v>
      </c>
      <c r="K44" s="1">
        <v>5000</v>
      </c>
      <c r="L44" s="1">
        <v>0</v>
      </c>
      <c r="M44" s="1" t="s">
        <v>364</v>
      </c>
      <c r="N44" s="1" t="s">
        <v>74</v>
      </c>
      <c r="O44" s="1" t="str">
        <f>LEFT(N44,4)</f>
        <v>2022</v>
      </c>
      <c r="P44" s="1" t="str">
        <f>MID(N44, LEN(N44)-4, 4)</f>
        <v>2024</v>
      </c>
      <c r="Q44" s="1" t="s">
        <v>244</v>
      </c>
      <c r="R44" s="1" t="str">
        <f>LEFT(Q44,4)</f>
        <v>2022</v>
      </c>
      <c r="S44" s="1" t="str">
        <f>MID(Q44, LEN(Q44)-4, 4)</f>
        <v>2045</v>
      </c>
      <c r="T44" s="1">
        <v>45700</v>
      </c>
      <c r="U44" s="1">
        <v>0</v>
      </c>
      <c r="V44" s="1">
        <v>23000</v>
      </c>
      <c r="W44" s="1">
        <v>0</v>
      </c>
      <c r="X44" s="1">
        <v>61154</v>
      </c>
      <c r="Y44" s="1" t="s">
        <v>1</v>
      </c>
      <c r="Z44" s="1" t="s">
        <v>153</v>
      </c>
      <c r="AA44" s="1" t="s">
        <v>153</v>
      </c>
      <c r="AB44" s="1" t="s">
        <v>227</v>
      </c>
      <c r="AC44" s="1" t="s">
        <v>226</v>
      </c>
    </row>
    <row r="45" spans="1:29" s="1" customFormat="1" x14ac:dyDescent="0.25">
      <c r="A45" s="1" t="s">
        <v>358</v>
      </c>
      <c r="B45" s="1">
        <v>129.85</v>
      </c>
      <c r="C45" s="1" t="s">
        <v>363</v>
      </c>
      <c r="D45" s="1" t="s">
        <v>362</v>
      </c>
      <c r="E45" s="1" t="s">
        <v>20</v>
      </c>
      <c r="F45" s="1">
        <v>3.22</v>
      </c>
      <c r="G45" s="1">
        <v>0.82</v>
      </c>
      <c r="H45" s="1">
        <v>2.4</v>
      </c>
      <c r="I45" s="1">
        <v>7.88</v>
      </c>
      <c r="J45" s="1" t="s">
        <v>5</v>
      </c>
      <c r="K45" s="1">
        <v>10000</v>
      </c>
      <c r="L45" s="1">
        <v>0</v>
      </c>
      <c r="M45" s="1" t="s">
        <v>361</v>
      </c>
      <c r="N45" s="1" t="s">
        <v>74</v>
      </c>
      <c r="O45" s="1" t="str">
        <f>LEFT(N45,4)</f>
        <v>2022</v>
      </c>
      <c r="P45" s="1" t="str">
        <f>MID(N45, LEN(N45)-4, 4)</f>
        <v>2024</v>
      </c>
      <c r="Q45" s="1" t="s">
        <v>244</v>
      </c>
      <c r="R45" s="1" t="str">
        <f>LEFT(Q45,4)</f>
        <v>2022</v>
      </c>
      <c r="S45" s="1" t="str">
        <f>MID(Q45, LEN(Q45)-4, 4)</f>
        <v>2045</v>
      </c>
      <c r="T45" s="1">
        <v>40180</v>
      </c>
      <c r="U45" s="1">
        <v>14180</v>
      </c>
      <c r="V45" s="1">
        <v>26000</v>
      </c>
      <c r="W45" s="1">
        <v>0</v>
      </c>
      <c r="X45" s="1">
        <v>65076</v>
      </c>
      <c r="Y45" s="1" t="s">
        <v>1</v>
      </c>
      <c r="Z45" s="1" t="s">
        <v>153</v>
      </c>
      <c r="AA45" s="1" t="s">
        <v>153</v>
      </c>
      <c r="AB45" s="1" t="s">
        <v>176</v>
      </c>
      <c r="AC45" s="1" t="s">
        <v>175</v>
      </c>
    </row>
    <row r="46" spans="1:29" s="1" customFormat="1" x14ac:dyDescent="0.25">
      <c r="A46" s="1" t="s">
        <v>360</v>
      </c>
      <c r="B46" s="1">
        <v>281.42</v>
      </c>
      <c r="C46" s="1" t="s">
        <v>304</v>
      </c>
      <c r="D46" s="1" t="s">
        <v>303</v>
      </c>
      <c r="E46" s="1" t="s">
        <v>10</v>
      </c>
      <c r="F46" s="1">
        <v>3.9</v>
      </c>
      <c r="G46" s="1">
        <v>2.6</v>
      </c>
      <c r="H46" s="1">
        <v>1.3</v>
      </c>
      <c r="I46" s="1">
        <v>4.6500000000000004</v>
      </c>
      <c r="J46" s="1" t="s">
        <v>5</v>
      </c>
      <c r="K46" s="1">
        <v>3000</v>
      </c>
      <c r="L46" s="1">
        <v>0</v>
      </c>
      <c r="M46" s="1" t="s">
        <v>302</v>
      </c>
      <c r="N46" s="1" t="s">
        <v>119</v>
      </c>
      <c r="O46" s="1" t="str">
        <f>LEFT(N46,4)</f>
        <v>2021</v>
      </c>
      <c r="P46" s="1" t="str">
        <f>MID(N46, LEN(N46)-4, 4)</f>
        <v>2024</v>
      </c>
      <c r="Q46" s="1" t="s">
        <v>359</v>
      </c>
      <c r="R46" s="1" t="str">
        <f>LEFT(Q46,4)</f>
        <v>2021</v>
      </c>
      <c r="S46" s="1" t="str">
        <f>MID(Q46, LEN(Q46)-4, 4)</f>
        <v>2045</v>
      </c>
      <c r="T46" s="1">
        <v>40999.599999999999</v>
      </c>
      <c r="U46" s="1">
        <v>0</v>
      </c>
      <c r="V46" s="1">
        <v>15000</v>
      </c>
      <c r="W46" s="1">
        <v>0</v>
      </c>
      <c r="X46" s="1">
        <v>44891.839999999997</v>
      </c>
      <c r="Y46" s="1" t="s">
        <v>1</v>
      </c>
      <c r="Z46" s="1" t="s">
        <v>153</v>
      </c>
      <c r="AA46" s="1" t="s">
        <v>153</v>
      </c>
      <c r="AB46" s="1" t="s">
        <v>152</v>
      </c>
      <c r="AC46" s="1" t="s">
        <v>151</v>
      </c>
    </row>
    <row r="47" spans="1:29" s="1" customFormat="1" x14ac:dyDescent="0.25">
      <c r="A47" s="1" t="s">
        <v>358</v>
      </c>
      <c r="B47" s="1">
        <v>129.85</v>
      </c>
      <c r="C47" s="1" t="s">
        <v>247</v>
      </c>
      <c r="D47" s="1" t="s">
        <v>246</v>
      </c>
      <c r="E47" s="1" t="s">
        <v>10</v>
      </c>
      <c r="F47" s="1">
        <v>3.52</v>
      </c>
      <c r="G47" s="1">
        <v>2.02</v>
      </c>
      <c r="H47" s="1">
        <v>1.5</v>
      </c>
      <c r="I47" s="1">
        <v>7.26</v>
      </c>
      <c r="J47" s="1" t="s">
        <v>5</v>
      </c>
      <c r="K47" s="1">
        <v>10000</v>
      </c>
      <c r="L47" s="1">
        <v>0</v>
      </c>
      <c r="M47" s="1" t="s">
        <v>245</v>
      </c>
      <c r="N47" s="1" t="s">
        <v>74</v>
      </c>
      <c r="O47" s="1" t="str">
        <f>LEFT(N47,4)</f>
        <v>2022</v>
      </c>
      <c r="P47" s="1" t="str">
        <f>MID(N47, LEN(N47)-4, 4)</f>
        <v>2024</v>
      </c>
      <c r="Q47" s="1" t="s">
        <v>244</v>
      </c>
      <c r="R47" s="1" t="str">
        <f>LEFT(Q47,4)</f>
        <v>2022</v>
      </c>
      <c r="S47" s="1" t="str">
        <f>MID(Q47, LEN(Q47)-4, 4)</f>
        <v>2045</v>
      </c>
      <c r="T47" s="1">
        <v>35234</v>
      </c>
      <c r="U47" s="1">
        <v>0</v>
      </c>
      <c r="V47" s="1">
        <v>15000</v>
      </c>
      <c r="W47" s="1">
        <v>0</v>
      </c>
      <c r="X47" s="1">
        <v>61771.43</v>
      </c>
      <c r="Y47" s="1" t="s">
        <v>1</v>
      </c>
      <c r="Z47" s="1" t="s">
        <v>153</v>
      </c>
      <c r="AA47" s="1" t="s">
        <v>153</v>
      </c>
      <c r="AB47" s="1" t="s">
        <v>243</v>
      </c>
    </row>
    <row r="48" spans="1:29" s="1" customFormat="1" x14ac:dyDescent="0.25">
      <c r="A48" s="1" t="s">
        <v>355</v>
      </c>
      <c r="B48" s="1">
        <v>158.94</v>
      </c>
      <c r="C48" s="1" t="s">
        <v>357</v>
      </c>
      <c r="D48" s="1" t="s">
        <v>353</v>
      </c>
      <c r="E48" s="1" t="s">
        <v>69</v>
      </c>
      <c r="F48" s="1">
        <v>3.4</v>
      </c>
      <c r="G48" s="1">
        <v>1</v>
      </c>
      <c r="H48" s="1">
        <v>2.4</v>
      </c>
      <c r="I48" s="1">
        <v>10.45</v>
      </c>
      <c r="J48" s="1" t="s">
        <v>5</v>
      </c>
      <c r="K48" s="1">
        <v>9000</v>
      </c>
      <c r="L48" s="1">
        <v>0</v>
      </c>
      <c r="M48" s="1" t="s">
        <v>356</v>
      </c>
      <c r="N48" s="1" t="s">
        <v>101</v>
      </c>
      <c r="O48" s="1" t="str">
        <f>LEFT(N48,4)</f>
        <v>2022</v>
      </c>
      <c r="P48" s="1" t="str">
        <f>MID(N48, LEN(N48)-4, 4)</f>
        <v>2025</v>
      </c>
      <c r="Q48" s="1" t="s">
        <v>228</v>
      </c>
      <c r="R48" s="1" t="str">
        <f>LEFT(Q48,4)</f>
        <v>2022</v>
      </c>
      <c r="S48" s="1" t="str">
        <f>MID(Q48, LEN(Q48)-4, 4)</f>
        <v>2044</v>
      </c>
      <c r="T48" s="1">
        <v>44000</v>
      </c>
      <c r="U48" s="1">
        <v>0</v>
      </c>
      <c r="V48" s="1">
        <v>24000</v>
      </c>
      <c r="W48" s="1">
        <v>0</v>
      </c>
      <c r="X48" s="1">
        <v>84462.02</v>
      </c>
      <c r="Y48" s="1" t="s">
        <v>1</v>
      </c>
      <c r="Z48" s="1" t="s">
        <v>153</v>
      </c>
      <c r="AA48" s="1" t="s">
        <v>153</v>
      </c>
      <c r="AB48" s="1" t="s">
        <v>196</v>
      </c>
    </row>
    <row r="49" spans="1:29" s="1" customFormat="1" x14ac:dyDescent="0.25">
      <c r="A49" s="1" t="s">
        <v>355</v>
      </c>
      <c r="B49" s="1">
        <v>158.94</v>
      </c>
      <c r="C49" s="1" t="s">
        <v>316</v>
      </c>
      <c r="D49" s="1" t="s">
        <v>315</v>
      </c>
      <c r="E49" s="1" t="s">
        <v>69</v>
      </c>
      <c r="F49" s="1">
        <v>2.65</v>
      </c>
      <c r="G49" s="1">
        <v>1.65</v>
      </c>
      <c r="H49" s="1">
        <v>1</v>
      </c>
      <c r="I49" s="1">
        <v>3.71</v>
      </c>
      <c r="J49" s="1" t="s">
        <v>5</v>
      </c>
      <c r="K49" s="1">
        <v>1500</v>
      </c>
      <c r="L49" s="1">
        <v>0</v>
      </c>
      <c r="M49" s="1" t="s">
        <v>317</v>
      </c>
      <c r="N49" s="1" t="s">
        <v>101</v>
      </c>
      <c r="O49" s="1" t="str">
        <f>LEFT(N49,4)</f>
        <v>2022</v>
      </c>
      <c r="P49" s="1" t="str">
        <f>MID(N49, LEN(N49)-4, 4)</f>
        <v>2025</v>
      </c>
      <c r="Q49" s="1" t="s">
        <v>228</v>
      </c>
      <c r="R49" s="1" t="str">
        <f>LEFT(Q49,4)</f>
        <v>2022</v>
      </c>
      <c r="S49" s="1" t="str">
        <f>MID(Q49, LEN(Q49)-4, 4)</f>
        <v>2044</v>
      </c>
      <c r="T49" s="1">
        <v>36544</v>
      </c>
      <c r="U49" s="1">
        <v>0</v>
      </c>
      <c r="V49" s="1">
        <v>10000</v>
      </c>
      <c r="W49" s="1">
        <v>0</v>
      </c>
      <c r="X49" s="1">
        <v>30480.87</v>
      </c>
      <c r="Y49" s="1" t="s">
        <v>1</v>
      </c>
      <c r="Z49" s="1" t="s">
        <v>153</v>
      </c>
      <c r="AA49" s="1" t="s">
        <v>153</v>
      </c>
      <c r="AB49" s="1" t="s">
        <v>152</v>
      </c>
      <c r="AC49" s="1" t="s">
        <v>313</v>
      </c>
    </row>
    <row r="50" spans="1:29" s="1" customFormat="1" x14ac:dyDescent="0.25">
      <c r="A50" s="1" t="s">
        <v>355</v>
      </c>
      <c r="B50" s="1">
        <v>158.94</v>
      </c>
      <c r="C50" s="1" t="s">
        <v>307</v>
      </c>
      <c r="D50" s="1" t="s">
        <v>306</v>
      </c>
      <c r="E50" s="1" t="s">
        <v>188</v>
      </c>
      <c r="F50" s="1">
        <v>3.84</v>
      </c>
      <c r="G50" s="1">
        <v>1.84</v>
      </c>
      <c r="H50" s="1">
        <v>2</v>
      </c>
      <c r="I50" s="1">
        <v>9.61</v>
      </c>
      <c r="J50" s="1" t="s">
        <v>5</v>
      </c>
      <c r="K50" s="1">
        <v>12500</v>
      </c>
      <c r="L50" s="1">
        <v>0</v>
      </c>
      <c r="M50" s="1" t="s">
        <v>305</v>
      </c>
      <c r="N50" s="1" t="s">
        <v>74</v>
      </c>
      <c r="O50" s="1" t="str">
        <f>LEFT(N50,4)</f>
        <v>2022</v>
      </c>
      <c r="P50" s="1" t="str">
        <f>MID(N50, LEN(N50)-4, 4)</f>
        <v>2024</v>
      </c>
      <c r="Q50" s="1" t="s">
        <v>228</v>
      </c>
      <c r="R50" s="1" t="str">
        <f>LEFT(Q50,4)</f>
        <v>2022</v>
      </c>
      <c r="S50" s="1" t="str">
        <f>MID(Q50, LEN(Q50)-4, 4)</f>
        <v>2044</v>
      </c>
      <c r="T50" s="1">
        <v>38387</v>
      </c>
      <c r="U50" s="1">
        <v>0</v>
      </c>
      <c r="V50" s="1">
        <v>20000</v>
      </c>
      <c r="W50" s="1">
        <v>0</v>
      </c>
      <c r="X50" s="1">
        <v>53747.5</v>
      </c>
      <c r="Y50" s="1" t="s">
        <v>1</v>
      </c>
      <c r="Z50" s="1" t="s">
        <v>153</v>
      </c>
      <c r="AA50" s="1" t="s">
        <v>153</v>
      </c>
      <c r="AB50" s="1" t="s">
        <v>152</v>
      </c>
    </row>
    <row r="51" spans="1:29" s="1" customFormat="1" x14ac:dyDescent="0.25">
      <c r="A51" s="1" t="s">
        <v>355</v>
      </c>
      <c r="B51" s="1">
        <v>158.94</v>
      </c>
      <c r="C51" s="1" t="s">
        <v>354</v>
      </c>
      <c r="D51" s="1" t="s">
        <v>353</v>
      </c>
      <c r="E51" s="1" t="s">
        <v>69</v>
      </c>
      <c r="F51" s="1">
        <v>1.5</v>
      </c>
      <c r="G51" s="1">
        <v>0.3</v>
      </c>
      <c r="H51" s="1">
        <v>1.2</v>
      </c>
      <c r="I51" s="1">
        <v>4.28</v>
      </c>
      <c r="J51" s="1" t="s">
        <v>5</v>
      </c>
      <c r="K51" s="1">
        <v>7000</v>
      </c>
      <c r="L51" s="1">
        <v>0</v>
      </c>
      <c r="M51" s="1" t="s">
        <v>352</v>
      </c>
      <c r="N51" s="1" t="s">
        <v>74</v>
      </c>
      <c r="O51" s="1" t="str">
        <f>LEFT(N51,4)</f>
        <v>2022</v>
      </c>
      <c r="P51" s="1" t="str">
        <f>MID(N51, LEN(N51)-4, 4)</f>
        <v>2024</v>
      </c>
      <c r="Q51" s="1" t="s">
        <v>228</v>
      </c>
      <c r="R51" s="1" t="str">
        <f>LEFT(Q51,4)</f>
        <v>2022</v>
      </c>
      <c r="S51" s="1" t="str">
        <f>MID(Q51, LEN(Q51)-4, 4)</f>
        <v>2044</v>
      </c>
      <c r="T51" s="1">
        <v>15000</v>
      </c>
      <c r="U51" s="1">
        <v>0</v>
      </c>
      <c r="V51" s="1">
        <v>12000</v>
      </c>
      <c r="W51" s="1">
        <v>0</v>
      </c>
      <c r="X51" s="1">
        <v>36480.99</v>
      </c>
      <c r="Y51" s="1" t="s">
        <v>1</v>
      </c>
      <c r="Z51" s="1" t="s">
        <v>153</v>
      </c>
      <c r="AA51" s="1" t="s">
        <v>153</v>
      </c>
      <c r="AB51" s="1" t="s">
        <v>196</v>
      </c>
    </row>
    <row r="52" spans="1:29" s="1" customFormat="1" x14ac:dyDescent="0.25">
      <c r="A52" s="1" t="s">
        <v>351</v>
      </c>
      <c r="B52" s="1">
        <v>23.47</v>
      </c>
      <c r="C52" s="1" t="s">
        <v>206</v>
      </c>
      <c r="D52" s="1" t="s">
        <v>205</v>
      </c>
      <c r="E52" s="1" t="s">
        <v>10</v>
      </c>
      <c r="F52" s="1">
        <v>17.809999999999999</v>
      </c>
      <c r="G52" s="1">
        <v>2.81</v>
      </c>
      <c r="H52" s="1">
        <v>15</v>
      </c>
      <c r="I52" s="1">
        <v>37.369999999999997</v>
      </c>
      <c r="J52" s="1" t="s">
        <v>5</v>
      </c>
      <c r="K52" s="1">
        <v>10000</v>
      </c>
      <c r="L52" s="1">
        <v>0</v>
      </c>
      <c r="M52" s="1" t="s">
        <v>348</v>
      </c>
      <c r="N52" s="1" t="s">
        <v>101</v>
      </c>
      <c r="O52" s="1" t="str">
        <f>LEFT(N52,4)</f>
        <v>2022</v>
      </c>
      <c r="P52" s="1" t="str">
        <f>MID(N52, LEN(N52)-4, 4)</f>
        <v>2025</v>
      </c>
      <c r="Q52" s="1" t="s">
        <v>100</v>
      </c>
      <c r="R52" s="1" t="str">
        <f>LEFT(Q52,4)</f>
        <v>2022</v>
      </c>
      <c r="S52" s="1" t="str">
        <f>MID(Q52, LEN(Q52)-4, 4)</f>
        <v>2040</v>
      </c>
      <c r="T52" s="1">
        <v>249076</v>
      </c>
      <c r="U52" s="1">
        <v>0</v>
      </c>
      <c r="V52" s="1">
        <v>157000</v>
      </c>
      <c r="W52" s="1">
        <v>0</v>
      </c>
      <c r="X52" s="1">
        <v>336350.2</v>
      </c>
      <c r="Y52" s="1" t="s">
        <v>1</v>
      </c>
      <c r="Z52" s="1" t="s">
        <v>153</v>
      </c>
      <c r="AA52" s="1" t="s">
        <v>153</v>
      </c>
      <c r="AB52" s="1" t="s">
        <v>203</v>
      </c>
      <c r="AC52" s="1" t="s">
        <v>202</v>
      </c>
    </row>
    <row r="53" spans="1:29" s="1" customFormat="1" x14ac:dyDescent="0.25">
      <c r="A53" s="1" t="s">
        <v>350</v>
      </c>
      <c r="B53" s="1">
        <v>28.37</v>
      </c>
      <c r="C53" s="1" t="s">
        <v>206</v>
      </c>
      <c r="D53" s="1" t="s">
        <v>205</v>
      </c>
      <c r="E53" s="1" t="s">
        <v>10</v>
      </c>
      <c r="F53" s="1">
        <v>17.809999999999999</v>
      </c>
      <c r="G53" s="1">
        <v>2.81</v>
      </c>
      <c r="H53" s="1">
        <v>15</v>
      </c>
      <c r="I53" s="1">
        <v>37.369999999999997</v>
      </c>
      <c r="J53" s="1" t="s">
        <v>5</v>
      </c>
      <c r="K53" s="1">
        <v>10000</v>
      </c>
      <c r="L53" s="1">
        <v>0</v>
      </c>
      <c r="M53" s="1" t="s">
        <v>348</v>
      </c>
      <c r="N53" s="1" t="s">
        <v>101</v>
      </c>
      <c r="O53" s="1" t="str">
        <f>LEFT(N53,4)</f>
        <v>2022</v>
      </c>
      <c r="P53" s="1" t="str">
        <f>MID(N53, LEN(N53)-4, 4)</f>
        <v>2025</v>
      </c>
      <c r="Q53" s="1" t="s">
        <v>100</v>
      </c>
      <c r="R53" s="1" t="str">
        <f>LEFT(Q53,4)</f>
        <v>2022</v>
      </c>
      <c r="S53" s="1" t="str">
        <f>MID(Q53, LEN(Q53)-4, 4)</f>
        <v>2040</v>
      </c>
      <c r="T53" s="1">
        <v>249076</v>
      </c>
      <c r="U53" s="1">
        <v>0</v>
      </c>
      <c r="V53" s="1">
        <v>157000</v>
      </c>
      <c r="W53" s="1">
        <v>0</v>
      </c>
      <c r="X53" s="1">
        <v>336350.2</v>
      </c>
      <c r="Y53" s="1" t="s">
        <v>1</v>
      </c>
      <c r="Z53" s="1" t="s">
        <v>153</v>
      </c>
      <c r="AA53" s="1" t="s">
        <v>153</v>
      </c>
      <c r="AB53" s="1" t="s">
        <v>203</v>
      </c>
      <c r="AC53" s="1" t="s">
        <v>202</v>
      </c>
    </row>
    <row r="54" spans="1:29" s="1" customFormat="1" x14ac:dyDescent="0.25">
      <c r="A54" s="1" t="s">
        <v>349</v>
      </c>
      <c r="B54" s="1">
        <v>24.22</v>
      </c>
      <c r="C54" s="1" t="s">
        <v>206</v>
      </c>
      <c r="D54" s="1" t="s">
        <v>205</v>
      </c>
      <c r="E54" s="1" t="s">
        <v>10</v>
      </c>
      <c r="F54" s="1">
        <v>17.809999999999999</v>
      </c>
      <c r="G54" s="1">
        <v>2.81</v>
      </c>
      <c r="H54" s="1">
        <v>15</v>
      </c>
      <c r="I54" s="1">
        <v>37.369999999999997</v>
      </c>
      <c r="J54" s="1" t="s">
        <v>5</v>
      </c>
      <c r="K54" s="1">
        <v>24000</v>
      </c>
      <c r="L54" s="1">
        <v>0</v>
      </c>
      <c r="M54" s="1" t="s">
        <v>348</v>
      </c>
      <c r="N54" s="1" t="s">
        <v>101</v>
      </c>
      <c r="O54" s="1" t="str">
        <f>LEFT(N54,4)</f>
        <v>2022</v>
      </c>
      <c r="P54" s="1" t="str">
        <f>MID(N54, LEN(N54)-4, 4)</f>
        <v>2025</v>
      </c>
      <c r="Q54" s="1" t="s">
        <v>100</v>
      </c>
      <c r="R54" s="1" t="str">
        <f>LEFT(Q54,4)</f>
        <v>2022</v>
      </c>
      <c r="S54" s="1" t="str">
        <f>MID(Q54, LEN(Q54)-4, 4)</f>
        <v>2040</v>
      </c>
      <c r="T54" s="1">
        <v>249076</v>
      </c>
      <c r="U54" s="1">
        <v>0</v>
      </c>
      <c r="V54" s="1">
        <v>157000</v>
      </c>
      <c r="W54" s="1">
        <v>0</v>
      </c>
      <c r="X54" s="1">
        <v>336350.2</v>
      </c>
      <c r="Y54" s="1" t="s">
        <v>1</v>
      </c>
      <c r="Z54" s="1" t="s">
        <v>153</v>
      </c>
      <c r="AA54" s="1" t="s">
        <v>153</v>
      </c>
      <c r="AB54" s="1" t="s">
        <v>203</v>
      </c>
      <c r="AC54" s="1" t="s">
        <v>202</v>
      </c>
    </row>
    <row r="55" spans="1:29" s="1" customFormat="1" x14ac:dyDescent="0.25">
      <c r="A55" s="1" t="s">
        <v>347</v>
      </c>
      <c r="B55" s="1">
        <v>20.68</v>
      </c>
      <c r="C55" s="1" t="s">
        <v>346</v>
      </c>
      <c r="D55" s="1" t="s">
        <v>345</v>
      </c>
      <c r="E55" s="1" t="s">
        <v>20</v>
      </c>
      <c r="F55" s="1">
        <v>2.54</v>
      </c>
      <c r="G55" s="1">
        <v>1.54</v>
      </c>
      <c r="H55" s="1">
        <v>1</v>
      </c>
      <c r="I55" s="1">
        <v>4.07</v>
      </c>
      <c r="J55" s="1" t="s">
        <v>5</v>
      </c>
      <c r="K55" s="1">
        <v>2000</v>
      </c>
      <c r="L55" s="1">
        <v>0</v>
      </c>
      <c r="M55" s="1" t="s">
        <v>344</v>
      </c>
      <c r="N55" s="1" t="s">
        <v>37</v>
      </c>
      <c r="O55" s="1" t="str">
        <f>LEFT(N55,4)</f>
        <v>2024</v>
      </c>
      <c r="P55" s="1" t="str">
        <f>MID(N55, LEN(N55)-4, 4)</f>
        <v>2025</v>
      </c>
      <c r="Q55" s="1" t="s">
        <v>343</v>
      </c>
      <c r="R55" s="1" t="str">
        <f>LEFT(Q55,4)</f>
        <v>2024</v>
      </c>
      <c r="S55" s="1" t="str">
        <f>MID(Q55, LEN(Q55)-4, 4)</f>
        <v>2032</v>
      </c>
      <c r="T55" s="1">
        <v>70000</v>
      </c>
      <c r="U55" s="1">
        <v>45000</v>
      </c>
      <c r="V55" s="1">
        <v>25000</v>
      </c>
      <c r="W55" s="1">
        <v>0</v>
      </c>
      <c r="X55" s="1">
        <v>39215.730000000003</v>
      </c>
      <c r="Y55" s="1" t="s">
        <v>1</v>
      </c>
      <c r="Z55" s="1" t="s">
        <v>153</v>
      </c>
      <c r="AA55" s="1" t="s">
        <v>153</v>
      </c>
      <c r="AB55" s="1" t="s">
        <v>152</v>
      </c>
      <c r="AC55" s="1" t="s">
        <v>151</v>
      </c>
    </row>
    <row r="56" spans="1:29" s="1" customFormat="1" x14ac:dyDescent="0.25">
      <c r="A56" s="1" t="s">
        <v>308</v>
      </c>
      <c r="B56" s="1">
        <v>256.5</v>
      </c>
      <c r="C56" s="1" t="s">
        <v>342</v>
      </c>
      <c r="D56" s="1" t="s">
        <v>341</v>
      </c>
      <c r="E56" s="1" t="s">
        <v>20</v>
      </c>
      <c r="F56" s="1">
        <v>5.47</v>
      </c>
      <c r="H56" s="1">
        <v>3.7</v>
      </c>
      <c r="I56" s="1">
        <v>14.48</v>
      </c>
      <c r="J56" s="1" t="s">
        <v>5</v>
      </c>
      <c r="K56" s="1">
        <v>8000</v>
      </c>
      <c r="L56" s="1">
        <v>0</v>
      </c>
      <c r="M56" s="1" t="s">
        <v>340</v>
      </c>
      <c r="N56" s="1" t="s">
        <v>339</v>
      </c>
      <c r="O56" s="1" t="str">
        <f>LEFT(N56,4)</f>
        <v>2022</v>
      </c>
      <c r="P56" s="1" t="str">
        <f>MID(N56, LEN(N56)-4, 4)</f>
        <v>2027</v>
      </c>
      <c r="Q56" s="1" t="s">
        <v>338</v>
      </c>
      <c r="R56" s="1" t="str">
        <f>LEFT(Q56,4)</f>
        <v>2022</v>
      </c>
      <c r="S56" s="1" t="str">
        <f>MID(Q56, LEN(Q56)-4, 4)</f>
        <v>2047</v>
      </c>
      <c r="T56" s="1">
        <v>76687.429999999993</v>
      </c>
      <c r="U56" s="1">
        <v>0</v>
      </c>
      <c r="V56" s="1">
        <v>50000</v>
      </c>
      <c r="W56" s="1">
        <v>0</v>
      </c>
      <c r="X56" s="1">
        <v>142799.63</v>
      </c>
      <c r="Y56" s="1" t="s">
        <v>125</v>
      </c>
      <c r="Z56" s="1" t="s">
        <v>153</v>
      </c>
      <c r="AA56" s="1" t="s">
        <v>153</v>
      </c>
      <c r="AB56" s="1" t="s">
        <v>152</v>
      </c>
      <c r="AC56" s="1" t="s">
        <v>232</v>
      </c>
    </row>
    <row r="57" spans="1:29" s="1" customFormat="1" x14ac:dyDescent="0.25">
      <c r="A57" s="1" t="s">
        <v>298</v>
      </c>
      <c r="B57" s="1">
        <v>273.11</v>
      </c>
      <c r="C57" s="1" t="s">
        <v>342</v>
      </c>
      <c r="D57" s="1" t="s">
        <v>341</v>
      </c>
      <c r="E57" s="1" t="s">
        <v>20</v>
      </c>
      <c r="F57" s="1">
        <v>4.93</v>
      </c>
      <c r="H57" s="1">
        <v>3.5</v>
      </c>
      <c r="I57" s="1">
        <v>14.89</v>
      </c>
      <c r="J57" s="1" t="s">
        <v>5</v>
      </c>
      <c r="K57" s="1">
        <v>6000</v>
      </c>
      <c r="L57" s="1">
        <v>0</v>
      </c>
      <c r="M57" s="1" t="s">
        <v>340</v>
      </c>
      <c r="N57" s="1" t="s">
        <v>339</v>
      </c>
      <c r="O57" s="1" t="str">
        <f>LEFT(N57,4)</f>
        <v>2022</v>
      </c>
      <c r="P57" s="1" t="str">
        <f>MID(N57, LEN(N57)-4, 4)</f>
        <v>2027</v>
      </c>
      <c r="Q57" s="1" t="s">
        <v>338</v>
      </c>
      <c r="R57" s="1" t="str">
        <f>LEFT(Q57,4)</f>
        <v>2022</v>
      </c>
      <c r="S57" s="1" t="str">
        <f>MID(Q57, LEN(Q57)-4, 4)</f>
        <v>2047</v>
      </c>
      <c r="T57" s="1">
        <v>72466.73</v>
      </c>
      <c r="U57" s="1">
        <v>0</v>
      </c>
      <c r="V57" s="1">
        <v>50000</v>
      </c>
      <c r="W57" s="1">
        <v>0</v>
      </c>
      <c r="X57" s="1">
        <v>147066.20000000001</v>
      </c>
      <c r="Y57" s="1" t="s">
        <v>125</v>
      </c>
      <c r="Z57" s="1" t="s">
        <v>153</v>
      </c>
      <c r="AA57" s="1" t="s">
        <v>153</v>
      </c>
      <c r="AB57" s="1" t="s">
        <v>152</v>
      </c>
      <c r="AC57" s="1" t="s">
        <v>232</v>
      </c>
    </row>
    <row r="58" spans="1:29" s="1" customFormat="1" x14ac:dyDescent="0.25">
      <c r="A58" s="1" t="s">
        <v>308</v>
      </c>
      <c r="B58" s="1">
        <v>256.5</v>
      </c>
      <c r="C58" s="1" t="s">
        <v>337</v>
      </c>
      <c r="D58" s="1" t="s">
        <v>336</v>
      </c>
      <c r="E58" s="1" t="s">
        <v>188</v>
      </c>
      <c r="F58" s="1">
        <v>5.9</v>
      </c>
      <c r="G58" s="1">
        <v>1.8</v>
      </c>
      <c r="H58" s="1">
        <v>4.0999999999999996</v>
      </c>
      <c r="I58" s="1">
        <v>9.99</v>
      </c>
      <c r="J58" s="1" t="s">
        <v>5</v>
      </c>
      <c r="K58" s="1">
        <v>1500</v>
      </c>
      <c r="L58" s="1">
        <v>0</v>
      </c>
      <c r="M58" s="1" t="s">
        <v>335</v>
      </c>
      <c r="N58" s="1" t="s">
        <v>63</v>
      </c>
      <c r="O58" s="1" t="str">
        <f>LEFT(N58,4)</f>
        <v>2022</v>
      </c>
      <c r="P58" s="1" t="str">
        <f>MID(N58, LEN(N58)-4, 4)</f>
        <v>2026</v>
      </c>
      <c r="Q58" s="1" t="s">
        <v>244</v>
      </c>
      <c r="R58" s="1" t="str">
        <f>LEFT(Q58,4)</f>
        <v>2022</v>
      </c>
      <c r="S58" s="1" t="str">
        <f>MID(Q58, LEN(Q58)-4, 4)</f>
        <v>2045</v>
      </c>
      <c r="T58" s="1">
        <v>73636</v>
      </c>
      <c r="U58" s="1">
        <v>32636</v>
      </c>
      <c r="V58" s="1">
        <v>41000</v>
      </c>
      <c r="W58" s="1">
        <v>0</v>
      </c>
      <c r="X58" s="1">
        <v>87080.85</v>
      </c>
      <c r="Y58" s="1" t="s">
        <v>125</v>
      </c>
      <c r="Z58" s="1" t="s">
        <v>153</v>
      </c>
      <c r="AA58" s="1" t="s">
        <v>153</v>
      </c>
      <c r="AB58" s="1" t="s">
        <v>152</v>
      </c>
      <c r="AC58" s="1" t="s">
        <v>265</v>
      </c>
    </row>
    <row r="59" spans="1:29" s="1" customFormat="1" x14ac:dyDescent="0.25">
      <c r="A59" s="1" t="s">
        <v>296</v>
      </c>
      <c r="B59" s="1">
        <v>408.43</v>
      </c>
      <c r="C59" s="1" t="s">
        <v>337</v>
      </c>
      <c r="D59" s="1" t="s">
        <v>336</v>
      </c>
      <c r="E59" s="1" t="s">
        <v>188</v>
      </c>
      <c r="F59" s="1">
        <v>6.8</v>
      </c>
      <c r="G59" s="1">
        <v>2.7</v>
      </c>
      <c r="H59" s="1">
        <v>4.0999999999999996</v>
      </c>
      <c r="I59" s="1">
        <v>9.99</v>
      </c>
      <c r="J59" s="1" t="s">
        <v>5</v>
      </c>
      <c r="K59" s="1">
        <v>4000</v>
      </c>
      <c r="L59" s="1">
        <v>0</v>
      </c>
      <c r="M59" s="1" t="s">
        <v>335</v>
      </c>
      <c r="N59" s="1" t="s">
        <v>63</v>
      </c>
      <c r="O59" s="1" t="str">
        <f>LEFT(N59,4)</f>
        <v>2022</v>
      </c>
      <c r="P59" s="1" t="str">
        <f>MID(N59, LEN(N59)-4, 4)</f>
        <v>2026</v>
      </c>
      <c r="Q59" s="1" t="s">
        <v>244</v>
      </c>
      <c r="R59" s="1" t="str">
        <f>LEFT(Q59,4)</f>
        <v>2022</v>
      </c>
      <c r="S59" s="1" t="str">
        <f>MID(Q59, LEN(Q59)-4, 4)</f>
        <v>2045</v>
      </c>
      <c r="T59" s="1">
        <v>73636</v>
      </c>
      <c r="U59" s="1">
        <v>32636</v>
      </c>
      <c r="V59" s="1">
        <v>41000</v>
      </c>
      <c r="W59" s="1">
        <v>0</v>
      </c>
      <c r="X59" s="1">
        <v>87080.85</v>
      </c>
      <c r="Y59" s="1" t="s">
        <v>125</v>
      </c>
      <c r="Z59" s="1" t="s">
        <v>153</v>
      </c>
      <c r="AA59" s="1" t="s">
        <v>153</v>
      </c>
      <c r="AB59" s="1" t="s">
        <v>152</v>
      </c>
      <c r="AC59" s="1" t="s">
        <v>265</v>
      </c>
    </row>
    <row r="60" spans="1:29" s="1" customFormat="1" x14ac:dyDescent="0.25">
      <c r="A60" s="1" t="s">
        <v>300</v>
      </c>
      <c r="B60" s="1">
        <v>199.8</v>
      </c>
      <c r="C60" s="1" t="s">
        <v>334</v>
      </c>
      <c r="D60" s="1" t="s">
        <v>333</v>
      </c>
      <c r="E60" s="1" t="s">
        <v>69</v>
      </c>
      <c r="F60" s="1">
        <v>8.52</v>
      </c>
      <c r="G60" s="1">
        <v>5.42</v>
      </c>
      <c r="H60" s="1">
        <v>3.1</v>
      </c>
      <c r="I60" s="1">
        <v>14.01</v>
      </c>
      <c r="J60" s="1" t="s">
        <v>5</v>
      </c>
      <c r="K60" s="1">
        <v>9500</v>
      </c>
      <c r="L60" s="1">
        <v>0</v>
      </c>
      <c r="M60" s="1" t="s">
        <v>332</v>
      </c>
      <c r="N60" s="1" t="s">
        <v>101</v>
      </c>
      <c r="O60" s="1" t="str">
        <f>LEFT(N60,4)</f>
        <v>2022</v>
      </c>
      <c r="P60" s="1" t="str">
        <f>MID(N60, LEN(N60)-4, 4)</f>
        <v>2025</v>
      </c>
      <c r="Q60" s="1" t="s">
        <v>244</v>
      </c>
      <c r="R60" s="1" t="str">
        <f>LEFT(Q60,4)</f>
        <v>2022</v>
      </c>
      <c r="S60" s="1" t="str">
        <f>MID(Q60, LEN(Q60)-4, 4)</f>
        <v>2045</v>
      </c>
      <c r="T60" s="1">
        <v>94082.21</v>
      </c>
      <c r="U60" s="1">
        <v>0</v>
      </c>
      <c r="V60" s="1">
        <v>31000</v>
      </c>
      <c r="W60" s="1">
        <v>0</v>
      </c>
      <c r="X60" s="1">
        <v>79661.58</v>
      </c>
      <c r="Y60" s="1" t="s">
        <v>125</v>
      </c>
      <c r="Z60" s="1" t="s">
        <v>153</v>
      </c>
      <c r="AA60" s="1" t="s">
        <v>153</v>
      </c>
      <c r="AB60" s="1" t="s">
        <v>152</v>
      </c>
      <c r="AC60" s="1" t="s">
        <v>331</v>
      </c>
    </row>
    <row r="61" spans="1:29" s="1" customFormat="1" x14ac:dyDescent="0.25">
      <c r="A61" s="1" t="s">
        <v>298</v>
      </c>
      <c r="B61" s="1">
        <v>273.11</v>
      </c>
      <c r="C61" s="1" t="s">
        <v>334</v>
      </c>
      <c r="D61" s="1" t="s">
        <v>333</v>
      </c>
      <c r="E61" s="1" t="s">
        <v>69</v>
      </c>
      <c r="F61" s="1">
        <v>8.52</v>
      </c>
      <c r="G61" s="1">
        <v>5.42</v>
      </c>
      <c r="H61" s="1">
        <v>3.1</v>
      </c>
      <c r="I61" s="1">
        <v>14.01</v>
      </c>
      <c r="J61" s="1" t="s">
        <v>5</v>
      </c>
      <c r="K61" s="1">
        <v>9000</v>
      </c>
      <c r="L61" s="1">
        <v>0</v>
      </c>
      <c r="M61" s="1" t="s">
        <v>332</v>
      </c>
      <c r="N61" s="1" t="s">
        <v>101</v>
      </c>
      <c r="O61" s="1" t="str">
        <f>LEFT(N61,4)</f>
        <v>2022</v>
      </c>
      <c r="P61" s="1" t="str">
        <f>MID(N61, LEN(N61)-4, 4)</f>
        <v>2025</v>
      </c>
      <c r="Q61" s="1" t="s">
        <v>244</v>
      </c>
      <c r="R61" s="1" t="str">
        <f>LEFT(Q61,4)</f>
        <v>2022</v>
      </c>
      <c r="S61" s="1" t="str">
        <f>MID(Q61, LEN(Q61)-4, 4)</f>
        <v>2045</v>
      </c>
      <c r="T61" s="1">
        <v>94082.21</v>
      </c>
      <c r="U61" s="1">
        <v>0</v>
      </c>
      <c r="V61" s="1">
        <v>31000</v>
      </c>
      <c r="W61" s="1">
        <v>0</v>
      </c>
      <c r="X61" s="1">
        <v>79661.58</v>
      </c>
      <c r="Y61" s="1" t="s">
        <v>125</v>
      </c>
      <c r="Z61" s="1" t="s">
        <v>153</v>
      </c>
      <c r="AA61" s="1" t="s">
        <v>153</v>
      </c>
      <c r="AB61" s="1" t="s">
        <v>152</v>
      </c>
      <c r="AC61" s="1" t="s">
        <v>331</v>
      </c>
    </row>
    <row r="62" spans="1:29" s="1" customFormat="1" x14ac:dyDescent="0.25">
      <c r="A62" s="1" t="s">
        <v>308</v>
      </c>
      <c r="B62" s="1">
        <v>256.5</v>
      </c>
      <c r="C62" s="1" t="s">
        <v>330</v>
      </c>
      <c r="D62" s="1" t="s">
        <v>329</v>
      </c>
      <c r="E62" s="1" t="s">
        <v>188</v>
      </c>
      <c r="F62" s="1">
        <v>5.83</v>
      </c>
      <c r="G62" s="1">
        <v>4.13</v>
      </c>
      <c r="H62" s="1">
        <v>1.7</v>
      </c>
      <c r="I62" s="1">
        <v>4.96</v>
      </c>
      <c r="J62" s="1" t="s">
        <v>5</v>
      </c>
      <c r="K62" s="1">
        <v>4000</v>
      </c>
      <c r="L62" s="1">
        <v>0</v>
      </c>
      <c r="M62" s="1" t="s">
        <v>324</v>
      </c>
      <c r="N62" s="1" t="s">
        <v>101</v>
      </c>
      <c r="O62" s="1" t="str">
        <f>LEFT(N62,4)</f>
        <v>2022</v>
      </c>
      <c r="P62" s="1" t="str">
        <f>MID(N62, LEN(N62)-4, 4)</f>
        <v>2025</v>
      </c>
      <c r="Q62" s="1" t="s">
        <v>244</v>
      </c>
      <c r="R62" s="1" t="str">
        <f>LEFT(Q62,4)</f>
        <v>2022</v>
      </c>
      <c r="S62" s="1" t="str">
        <f>MID(Q62, LEN(Q62)-4, 4)</f>
        <v>2045</v>
      </c>
      <c r="T62" s="1">
        <v>58347</v>
      </c>
      <c r="U62" s="1">
        <v>0</v>
      </c>
      <c r="V62" s="1">
        <v>17000</v>
      </c>
      <c r="W62" s="1">
        <v>0</v>
      </c>
      <c r="X62" s="1">
        <v>39979.519999999997</v>
      </c>
      <c r="Y62" s="1" t="s">
        <v>125</v>
      </c>
      <c r="Z62" s="1" t="s">
        <v>153</v>
      </c>
      <c r="AA62" s="1" t="s">
        <v>153</v>
      </c>
      <c r="AB62" s="1" t="s">
        <v>152</v>
      </c>
    </row>
    <row r="63" spans="1:29" s="1" customFormat="1" x14ac:dyDescent="0.25">
      <c r="A63" s="1" t="s">
        <v>300</v>
      </c>
      <c r="B63" s="1">
        <v>199.8</v>
      </c>
      <c r="C63" s="1" t="s">
        <v>328</v>
      </c>
      <c r="D63" s="1" t="s">
        <v>322</v>
      </c>
      <c r="E63" s="1" t="s">
        <v>69</v>
      </c>
      <c r="F63" s="1">
        <v>6.3</v>
      </c>
      <c r="G63" s="1">
        <v>3.8</v>
      </c>
      <c r="H63" s="1">
        <v>2.5</v>
      </c>
      <c r="I63" s="1">
        <v>11.5</v>
      </c>
      <c r="J63" s="1" t="s">
        <v>5</v>
      </c>
      <c r="K63" s="1">
        <v>7500</v>
      </c>
      <c r="L63" s="1">
        <v>0</v>
      </c>
      <c r="M63" s="1" t="s">
        <v>321</v>
      </c>
      <c r="N63" s="1" t="s">
        <v>101</v>
      </c>
      <c r="O63" s="1" t="str">
        <f>LEFT(N63,4)</f>
        <v>2022</v>
      </c>
      <c r="P63" s="1" t="str">
        <f>MID(N63, LEN(N63)-4, 4)</f>
        <v>2025</v>
      </c>
      <c r="Q63" s="1" t="s">
        <v>244</v>
      </c>
      <c r="R63" s="1" t="str">
        <f>LEFT(Q63,4)</f>
        <v>2022</v>
      </c>
      <c r="S63" s="1" t="str">
        <f>MID(Q63, LEN(Q63)-4, 4)</f>
        <v>2045</v>
      </c>
      <c r="T63" s="1">
        <v>73378</v>
      </c>
      <c r="U63" s="1">
        <v>0</v>
      </c>
      <c r="V63" s="1">
        <v>25000</v>
      </c>
      <c r="W63" s="1">
        <v>0</v>
      </c>
      <c r="X63" s="1">
        <v>69688.570000000007</v>
      </c>
      <c r="Y63" s="1" t="s">
        <v>125</v>
      </c>
      <c r="Z63" s="1" t="s">
        <v>153</v>
      </c>
      <c r="AA63" s="1" t="s">
        <v>153</v>
      </c>
      <c r="AB63" s="1" t="s">
        <v>152</v>
      </c>
      <c r="AC63" s="1" t="s">
        <v>272</v>
      </c>
    </row>
    <row r="64" spans="1:29" s="1" customFormat="1" x14ac:dyDescent="0.25">
      <c r="A64" s="1" t="s">
        <v>296</v>
      </c>
      <c r="B64" s="1">
        <v>408.43</v>
      </c>
      <c r="C64" s="1" t="s">
        <v>328</v>
      </c>
      <c r="D64" s="1" t="s">
        <v>322</v>
      </c>
      <c r="E64" s="1" t="s">
        <v>69</v>
      </c>
      <c r="F64" s="1">
        <v>6.39</v>
      </c>
      <c r="G64" s="1">
        <v>3.89</v>
      </c>
      <c r="H64" s="1">
        <v>2.5</v>
      </c>
      <c r="I64" s="1">
        <v>11.5</v>
      </c>
      <c r="J64" s="1" t="s">
        <v>5</v>
      </c>
      <c r="K64" s="1">
        <v>2500</v>
      </c>
      <c r="L64" s="1">
        <v>0</v>
      </c>
      <c r="M64" s="1" t="s">
        <v>327</v>
      </c>
      <c r="N64" s="1" t="s">
        <v>101</v>
      </c>
      <c r="O64" s="1" t="str">
        <f>LEFT(N64,4)</f>
        <v>2022</v>
      </c>
      <c r="P64" s="1" t="str">
        <f>MID(N64, LEN(N64)-4, 4)</f>
        <v>2025</v>
      </c>
      <c r="Q64" s="1" t="s">
        <v>244</v>
      </c>
      <c r="R64" s="1" t="str">
        <f>LEFT(Q64,4)</f>
        <v>2022</v>
      </c>
      <c r="S64" s="1" t="str">
        <f>MID(Q64, LEN(Q64)-4, 4)</f>
        <v>2045</v>
      </c>
      <c r="T64" s="1">
        <v>73378</v>
      </c>
      <c r="U64" s="1">
        <v>0</v>
      </c>
      <c r="V64" s="1">
        <v>25000</v>
      </c>
      <c r="W64" s="1">
        <v>0</v>
      </c>
      <c r="X64" s="1">
        <v>69688.570000000007</v>
      </c>
      <c r="Y64" s="1" t="s">
        <v>125</v>
      </c>
      <c r="Z64" s="1" t="s">
        <v>153</v>
      </c>
      <c r="AA64" s="1" t="s">
        <v>153</v>
      </c>
      <c r="AB64" s="1" t="s">
        <v>152</v>
      </c>
      <c r="AC64" s="1" t="s">
        <v>272</v>
      </c>
    </row>
    <row r="65" spans="1:29" s="1" customFormat="1" x14ac:dyDescent="0.25">
      <c r="A65" s="1" t="s">
        <v>326</v>
      </c>
      <c r="B65" s="1">
        <v>64.23</v>
      </c>
      <c r="C65" s="1" t="s">
        <v>325</v>
      </c>
      <c r="D65" s="1" t="s">
        <v>294</v>
      </c>
      <c r="E65" s="1" t="s">
        <v>188</v>
      </c>
      <c r="F65" s="1">
        <v>4.0999999999999996</v>
      </c>
      <c r="G65" s="1">
        <v>1.7</v>
      </c>
      <c r="H65" s="1">
        <v>2.4</v>
      </c>
      <c r="I65" s="1">
        <v>6</v>
      </c>
      <c r="J65" s="1" t="s">
        <v>5</v>
      </c>
      <c r="K65" s="1">
        <v>5000</v>
      </c>
      <c r="L65" s="1">
        <v>0</v>
      </c>
      <c r="M65" s="1" t="s">
        <v>324</v>
      </c>
      <c r="N65" s="1" t="s">
        <v>74</v>
      </c>
      <c r="O65" s="1" t="str">
        <f>LEFT(N65,4)</f>
        <v>2022</v>
      </c>
      <c r="P65" s="1" t="str">
        <f>MID(N65, LEN(N65)-4, 4)</f>
        <v>2024</v>
      </c>
      <c r="Q65" s="1" t="s">
        <v>244</v>
      </c>
      <c r="R65" s="1" t="str">
        <f>LEFT(Q65,4)</f>
        <v>2022</v>
      </c>
      <c r="S65" s="1" t="str">
        <f>MID(Q65, LEN(Q65)-4, 4)</f>
        <v>2045</v>
      </c>
      <c r="T65" s="1">
        <v>42955</v>
      </c>
      <c r="U65" s="1">
        <v>0</v>
      </c>
      <c r="V65" s="1">
        <v>24000</v>
      </c>
      <c r="W65" s="1">
        <v>0</v>
      </c>
      <c r="X65" s="1">
        <v>51645.15</v>
      </c>
      <c r="Y65" s="1" t="s">
        <v>125</v>
      </c>
      <c r="Z65" s="1" t="s">
        <v>153</v>
      </c>
      <c r="AA65" s="1" t="s">
        <v>153</v>
      </c>
      <c r="AB65" s="1" t="s">
        <v>152</v>
      </c>
    </row>
    <row r="66" spans="1:29" s="1" customFormat="1" x14ac:dyDescent="0.25">
      <c r="A66" s="1" t="s">
        <v>308</v>
      </c>
      <c r="B66" s="1">
        <v>256.5</v>
      </c>
      <c r="C66" s="1" t="s">
        <v>325</v>
      </c>
      <c r="D66" s="1" t="s">
        <v>294</v>
      </c>
      <c r="E66" s="1" t="s">
        <v>188</v>
      </c>
      <c r="F66" s="1">
        <v>4.0999999999999996</v>
      </c>
      <c r="G66" s="1">
        <v>1.7</v>
      </c>
      <c r="H66" s="1">
        <v>2.4</v>
      </c>
      <c r="I66" s="1">
        <v>6</v>
      </c>
      <c r="J66" s="1" t="s">
        <v>5</v>
      </c>
      <c r="K66" s="1">
        <v>3500</v>
      </c>
      <c r="L66" s="1">
        <v>0</v>
      </c>
      <c r="M66" s="1" t="s">
        <v>324</v>
      </c>
      <c r="N66" s="1" t="s">
        <v>74</v>
      </c>
      <c r="O66" s="1" t="str">
        <f>LEFT(N66,4)</f>
        <v>2022</v>
      </c>
      <c r="P66" s="1" t="str">
        <f>MID(N66, LEN(N66)-4, 4)</f>
        <v>2024</v>
      </c>
      <c r="Q66" s="1" t="s">
        <v>244</v>
      </c>
      <c r="R66" s="1" t="str">
        <f>LEFT(Q66,4)</f>
        <v>2022</v>
      </c>
      <c r="S66" s="1" t="str">
        <f>MID(Q66, LEN(Q66)-4, 4)</f>
        <v>2045</v>
      </c>
      <c r="T66" s="1">
        <v>42965</v>
      </c>
      <c r="U66" s="1">
        <v>0</v>
      </c>
      <c r="V66" s="1">
        <v>24000</v>
      </c>
      <c r="W66" s="1">
        <v>0</v>
      </c>
      <c r="X66" s="1">
        <v>51645.15</v>
      </c>
      <c r="Y66" s="1" t="s">
        <v>125</v>
      </c>
      <c r="Z66" s="1" t="s">
        <v>153</v>
      </c>
      <c r="AA66" s="1" t="s">
        <v>153</v>
      </c>
      <c r="AB66" s="1" t="s">
        <v>152</v>
      </c>
    </row>
    <row r="67" spans="1:29" s="1" customFormat="1" x14ac:dyDescent="0.25">
      <c r="A67" s="1" t="s">
        <v>300</v>
      </c>
      <c r="B67" s="1">
        <v>199.8</v>
      </c>
      <c r="C67" s="1" t="s">
        <v>323</v>
      </c>
      <c r="D67" s="1" t="s">
        <v>322</v>
      </c>
      <c r="E67" s="1" t="s">
        <v>69</v>
      </c>
      <c r="F67" s="1">
        <v>1.65</v>
      </c>
      <c r="G67" s="1">
        <v>0.65</v>
      </c>
      <c r="H67" s="1">
        <v>1</v>
      </c>
      <c r="I67" s="1">
        <v>3.41</v>
      </c>
      <c r="J67" s="1" t="s">
        <v>5</v>
      </c>
      <c r="K67" s="1">
        <v>3000</v>
      </c>
      <c r="L67" s="1">
        <v>0</v>
      </c>
      <c r="M67" s="1" t="s">
        <v>321</v>
      </c>
      <c r="N67" s="1" t="s">
        <v>74</v>
      </c>
      <c r="O67" s="1" t="str">
        <f>LEFT(N67,4)</f>
        <v>2022</v>
      </c>
      <c r="P67" s="1" t="str">
        <f>MID(N67, LEN(N67)-4, 4)</f>
        <v>2024</v>
      </c>
      <c r="Q67" s="1" t="s">
        <v>244</v>
      </c>
      <c r="R67" s="1" t="str">
        <f>LEFT(Q67,4)</f>
        <v>2022</v>
      </c>
      <c r="S67" s="1" t="str">
        <f>MID(Q67, LEN(Q67)-4, 4)</f>
        <v>2045</v>
      </c>
      <c r="T67" s="1">
        <v>20519</v>
      </c>
      <c r="U67" s="1">
        <v>0</v>
      </c>
      <c r="V67" s="1">
        <v>10000</v>
      </c>
      <c r="W67" s="1">
        <v>0</v>
      </c>
      <c r="X67" s="1">
        <v>22512.26</v>
      </c>
      <c r="Y67" s="1" t="s">
        <v>125</v>
      </c>
      <c r="Z67" s="1" t="s">
        <v>153</v>
      </c>
      <c r="AA67" s="1" t="s">
        <v>153</v>
      </c>
      <c r="AB67" s="1" t="s">
        <v>152</v>
      </c>
      <c r="AC67" s="1" t="s">
        <v>272</v>
      </c>
    </row>
    <row r="68" spans="1:29" s="1" customFormat="1" x14ac:dyDescent="0.25">
      <c r="A68" s="1" t="s">
        <v>296</v>
      </c>
      <c r="B68" s="1">
        <v>408.43</v>
      </c>
      <c r="C68" s="1" t="s">
        <v>323</v>
      </c>
      <c r="D68" s="1" t="s">
        <v>322</v>
      </c>
      <c r="E68" s="1" t="s">
        <v>69</v>
      </c>
      <c r="F68" s="1">
        <v>1.7</v>
      </c>
      <c r="G68" s="1">
        <v>0.7</v>
      </c>
      <c r="H68" s="1">
        <v>1</v>
      </c>
      <c r="I68" s="1">
        <v>3.41</v>
      </c>
      <c r="J68" s="1" t="s">
        <v>5</v>
      </c>
      <c r="K68" s="1">
        <v>2500</v>
      </c>
      <c r="L68" s="1">
        <v>0</v>
      </c>
      <c r="M68" s="1" t="s">
        <v>321</v>
      </c>
      <c r="N68" s="1" t="s">
        <v>74</v>
      </c>
      <c r="O68" s="1" t="str">
        <f>LEFT(N68,4)</f>
        <v>2022</v>
      </c>
      <c r="P68" s="1" t="str">
        <f>MID(N68, LEN(N68)-4, 4)</f>
        <v>2024</v>
      </c>
      <c r="Q68" s="1" t="s">
        <v>244</v>
      </c>
      <c r="R68" s="1" t="str">
        <f>LEFT(Q68,4)</f>
        <v>2022</v>
      </c>
      <c r="S68" s="1" t="str">
        <f>MID(Q68, LEN(Q68)-4, 4)</f>
        <v>2045</v>
      </c>
      <c r="T68" s="1">
        <v>20519</v>
      </c>
      <c r="U68" s="1">
        <v>0</v>
      </c>
      <c r="V68" s="1">
        <v>10000</v>
      </c>
      <c r="W68" s="1">
        <v>0</v>
      </c>
      <c r="X68" s="1">
        <v>22512.26</v>
      </c>
      <c r="Y68" s="1" t="s">
        <v>125</v>
      </c>
      <c r="Z68" s="1" t="s">
        <v>153</v>
      </c>
      <c r="AA68" s="1" t="s">
        <v>153</v>
      </c>
      <c r="AB68" s="1" t="s">
        <v>152</v>
      </c>
      <c r="AC68" s="1" t="s">
        <v>272</v>
      </c>
    </row>
    <row r="69" spans="1:29" s="1" customFormat="1" x14ac:dyDescent="0.25">
      <c r="A69" s="1" t="s">
        <v>299</v>
      </c>
      <c r="B69" s="1">
        <v>147.61000000000001</v>
      </c>
      <c r="C69" s="1" t="s">
        <v>240</v>
      </c>
      <c r="D69" s="1" t="s">
        <v>239</v>
      </c>
      <c r="E69" s="1" t="s">
        <v>20</v>
      </c>
      <c r="F69" s="1">
        <v>2.33</v>
      </c>
      <c r="G69" s="1">
        <v>2.0299999999999998</v>
      </c>
      <c r="H69" s="1">
        <v>0.3</v>
      </c>
      <c r="I69" s="1">
        <v>1.1499999999999999</v>
      </c>
      <c r="J69" s="1" t="s">
        <v>5</v>
      </c>
      <c r="K69" s="1">
        <v>1000</v>
      </c>
      <c r="L69" s="1">
        <v>0</v>
      </c>
      <c r="M69" s="1" t="s">
        <v>238</v>
      </c>
      <c r="N69" s="1" t="s">
        <v>101</v>
      </c>
      <c r="O69" s="1" t="str">
        <f>LEFT(N69,4)</f>
        <v>2022</v>
      </c>
      <c r="P69" s="1" t="str">
        <f>MID(N69, LEN(N69)-4, 4)</f>
        <v>2025</v>
      </c>
      <c r="Q69" s="1" t="s">
        <v>228</v>
      </c>
      <c r="R69" s="1" t="str">
        <f>LEFT(Q69,4)</f>
        <v>2022</v>
      </c>
      <c r="S69" s="1" t="str">
        <f>MID(Q69, LEN(Q69)-4, 4)</f>
        <v>2044</v>
      </c>
      <c r="T69" s="1">
        <v>25823</v>
      </c>
      <c r="U69" s="1">
        <v>0</v>
      </c>
      <c r="V69" s="1">
        <v>5000</v>
      </c>
      <c r="W69" s="1">
        <v>0</v>
      </c>
      <c r="X69" s="1">
        <v>11132.86</v>
      </c>
      <c r="Y69" s="1" t="s">
        <v>125</v>
      </c>
      <c r="Z69" s="1" t="s">
        <v>153</v>
      </c>
      <c r="AA69" s="1" t="s">
        <v>153</v>
      </c>
      <c r="AB69" s="1" t="s">
        <v>185</v>
      </c>
      <c r="AC69" s="1" t="s">
        <v>237</v>
      </c>
    </row>
    <row r="70" spans="1:29" s="1" customFormat="1" x14ac:dyDescent="0.25">
      <c r="A70" s="1" t="s">
        <v>300</v>
      </c>
      <c r="B70" s="1">
        <v>199.8</v>
      </c>
      <c r="C70" s="1" t="s">
        <v>240</v>
      </c>
      <c r="D70" s="1" t="s">
        <v>239</v>
      </c>
      <c r="E70" s="1" t="s">
        <v>20</v>
      </c>
      <c r="F70" s="1">
        <v>2.33</v>
      </c>
      <c r="G70" s="1">
        <v>2.0299999999999998</v>
      </c>
      <c r="H70" s="1">
        <v>0.3</v>
      </c>
      <c r="I70" s="1">
        <v>1.1499999999999999</v>
      </c>
      <c r="J70" s="1" t="s">
        <v>5</v>
      </c>
      <c r="K70" s="1">
        <v>1000</v>
      </c>
      <c r="L70" s="1">
        <v>0</v>
      </c>
      <c r="M70" s="1" t="s">
        <v>238</v>
      </c>
      <c r="N70" s="1" t="s">
        <v>101</v>
      </c>
      <c r="O70" s="1" t="str">
        <f>LEFT(N70,4)</f>
        <v>2022</v>
      </c>
      <c r="P70" s="1" t="str">
        <f>MID(N70, LEN(N70)-4, 4)</f>
        <v>2025</v>
      </c>
      <c r="Q70" s="1" t="s">
        <v>228</v>
      </c>
      <c r="R70" s="1" t="str">
        <f>LEFT(Q70,4)</f>
        <v>2022</v>
      </c>
      <c r="S70" s="1" t="str">
        <f>MID(Q70, LEN(Q70)-4, 4)</f>
        <v>2044</v>
      </c>
      <c r="T70" s="1">
        <v>25823</v>
      </c>
      <c r="U70" s="1">
        <v>0</v>
      </c>
      <c r="V70" s="1">
        <v>5000</v>
      </c>
      <c r="W70" s="1">
        <v>0</v>
      </c>
      <c r="X70" s="1">
        <v>11132.86</v>
      </c>
      <c r="Y70" s="1" t="s">
        <v>125</v>
      </c>
      <c r="Z70" s="1" t="s">
        <v>153</v>
      </c>
      <c r="AA70" s="1" t="s">
        <v>153</v>
      </c>
      <c r="AB70" s="1" t="s">
        <v>185</v>
      </c>
      <c r="AC70" s="1" t="s">
        <v>237</v>
      </c>
    </row>
    <row r="71" spans="1:29" s="1" customFormat="1" x14ac:dyDescent="0.25">
      <c r="A71" s="1" t="s">
        <v>299</v>
      </c>
      <c r="B71" s="1">
        <v>147.61000000000001</v>
      </c>
      <c r="C71" s="1" t="s">
        <v>319</v>
      </c>
      <c r="D71" s="1" t="s">
        <v>235</v>
      </c>
      <c r="E71" s="1" t="s">
        <v>234</v>
      </c>
      <c r="F71" s="1">
        <v>7.2</v>
      </c>
      <c r="G71" s="1">
        <v>4.9000000000000004</v>
      </c>
      <c r="H71" s="1">
        <v>2.2999999999999998</v>
      </c>
      <c r="I71" s="1">
        <v>9.1300000000000008</v>
      </c>
      <c r="J71" s="1" t="s">
        <v>5</v>
      </c>
      <c r="K71" s="1">
        <v>8000</v>
      </c>
      <c r="L71" s="1">
        <v>0</v>
      </c>
      <c r="M71" s="1" t="s">
        <v>320</v>
      </c>
      <c r="N71" s="1" t="s">
        <v>101</v>
      </c>
      <c r="O71" s="1" t="str">
        <f>LEFT(N71,4)</f>
        <v>2022</v>
      </c>
      <c r="P71" s="1" t="str">
        <f>MID(N71, LEN(N71)-4, 4)</f>
        <v>2025</v>
      </c>
      <c r="Q71" s="1" t="s">
        <v>228</v>
      </c>
      <c r="R71" s="1" t="str">
        <f>LEFT(Q71,4)</f>
        <v>2022</v>
      </c>
      <c r="S71" s="1" t="str">
        <f>MID(Q71, LEN(Q71)-4, 4)</f>
        <v>2044</v>
      </c>
      <c r="T71" s="1">
        <v>79308.37</v>
      </c>
      <c r="U71" s="1">
        <v>0</v>
      </c>
      <c r="V71" s="1">
        <v>30000</v>
      </c>
      <c r="W71" s="1">
        <v>0</v>
      </c>
      <c r="X71" s="1">
        <v>65227.15</v>
      </c>
      <c r="Y71" s="1" t="s">
        <v>125</v>
      </c>
      <c r="Z71" s="1" t="s">
        <v>153</v>
      </c>
      <c r="AA71" s="1" t="s">
        <v>153</v>
      </c>
      <c r="AB71" s="1" t="s">
        <v>152</v>
      </c>
      <c r="AC71" s="1" t="s">
        <v>232</v>
      </c>
    </row>
    <row r="72" spans="1:29" s="1" customFormat="1" x14ac:dyDescent="0.25">
      <c r="A72" s="1" t="s">
        <v>308</v>
      </c>
      <c r="B72" s="1">
        <v>256.5</v>
      </c>
      <c r="C72" s="1" t="s">
        <v>319</v>
      </c>
      <c r="D72" s="1" t="s">
        <v>235</v>
      </c>
      <c r="E72" s="1" t="s">
        <v>234</v>
      </c>
      <c r="F72" s="1">
        <v>5.13</v>
      </c>
      <c r="G72" s="1">
        <v>2.83</v>
      </c>
      <c r="H72" s="1">
        <v>2.2999999999999998</v>
      </c>
      <c r="I72" s="1">
        <v>9.0399999999999991</v>
      </c>
      <c r="J72" s="1" t="s">
        <v>5</v>
      </c>
      <c r="K72" s="1">
        <v>13000</v>
      </c>
      <c r="L72" s="1">
        <v>0</v>
      </c>
      <c r="M72" s="1" t="s">
        <v>318</v>
      </c>
      <c r="N72" s="1" t="s">
        <v>101</v>
      </c>
      <c r="O72" s="1" t="str">
        <f>LEFT(N72,4)</f>
        <v>2022</v>
      </c>
      <c r="P72" s="1" t="str">
        <f>MID(N72, LEN(N72)-4, 4)</f>
        <v>2025</v>
      </c>
      <c r="Q72" s="1" t="s">
        <v>228</v>
      </c>
      <c r="R72" s="1" t="str">
        <f>LEFT(Q72,4)</f>
        <v>2022</v>
      </c>
      <c r="S72" s="1" t="str">
        <f>MID(Q72, LEN(Q72)-4, 4)</f>
        <v>2044</v>
      </c>
      <c r="T72" s="1">
        <v>58256.1</v>
      </c>
      <c r="U72" s="1">
        <v>0</v>
      </c>
      <c r="V72" s="1">
        <v>30000</v>
      </c>
      <c r="W72" s="1">
        <v>0</v>
      </c>
      <c r="X72" s="1">
        <v>65743.320000000007</v>
      </c>
      <c r="Y72" s="1" t="s">
        <v>125</v>
      </c>
      <c r="Z72" s="1" t="s">
        <v>153</v>
      </c>
      <c r="AA72" s="1" t="s">
        <v>153</v>
      </c>
      <c r="AB72" s="1" t="s">
        <v>152</v>
      </c>
      <c r="AC72" s="1" t="s">
        <v>232</v>
      </c>
    </row>
    <row r="73" spans="1:29" s="1" customFormat="1" x14ac:dyDescent="0.25">
      <c r="A73" s="1" t="s">
        <v>296</v>
      </c>
      <c r="B73" s="1">
        <v>408.43</v>
      </c>
      <c r="C73" s="1" t="s">
        <v>316</v>
      </c>
      <c r="D73" s="1" t="s">
        <v>315</v>
      </c>
      <c r="E73" s="1" t="s">
        <v>69</v>
      </c>
      <c r="F73" s="1">
        <v>2.65</v>
      </c>
      <c r="G73" s="1">
        <v>1.65</v>
      </c>
      <c r="H73" s="1">
        <v>1</v>
      </c>
      <c r="I73" s="1">
        <v>3.71</v>
      </c>
      <c r="J73" s="1" t="s">
        <v>5</v>
      </c>
      <c r="K73" s="1">
        <v>3000</v>
      </c>
      <c r="L73" s="1">
        <v>0</v>
      </c>
      <c r="M73" s="1" t="s">
        <v>317</v>
      </c>
      <c r="N73" s="1" t="s">
        <v>101</v>
      </c>
      <c r="O73" s="1" t="str">
        <f>LEFT(N73,4)</f>
        <v>2022</v>
      </c>
      <c r="P73" s="1" t="str">
        <f>MID(N73, LEN(N73)-4, 4)</f>
        <v>2025</v>
      </c>
      <c r="Q73" s="1" t="s">
        <v>228</v>
      </c>
      <c r="R73" s="1" t="str">
        <f>LEFT(Q73,4)</f>
        <v>2022</v>
      </c>
      <c r="S73" s="1" t="str">
        <f>MID(Q73, LEN(Q73)-4, 4)</f>
        <v>2044</v>
      </c>
      <c r="T73" s="1">
        <v>36544</v>
      </c>
      <c r="U73" s="1">
        <v>0</v>
      </c>
      <c r="V73" s="1">
        <v>10000</v>
      </c>
      <c r="W73" s="1">
        <v>0</v>
      </c>
      <c r="X73" s="1">
        <v>30480.87</v>
      </c>
      <c r="Y73" s="1" t="s">
        <v>125</v>
      </c>
      <c r="Z73" s="1" t="s">
        <v>153</v>
      </c>
      <c r="AA73" s="1" t="s">
        <v>153</v>
      </c>
      <c r="AB73" s="1" t="s">
        <v>152</v>
      </c>
      <c r="AC73" s="1" t="s">
        <v>313</v>
      </c>
    </row>
    <row r="74" spans="1:29" s="1" customFormat="1" x14ac:dyDescent="0.25">
      <c r="A74" s="1" t="s">
        <v>298</v>
      </c>
      <c r="B74" s="1">
        <v>273.11</v>
      </c>
      <c r="C74" s="1" t="s">
        <v>316</v>
      </c>
      <c r="D74" s="1" t="s">
        <v>315</v>
      </c>
      <c r="E74" s="1" t="s">
        <v>69</v>
      </c>
      <c r="F74" s="1">
        <v>2.65</v>
      </c>
      <c r="G74" s="1">
        <v>1.65</v>
      </c>
      <c r="H74" s="1">
        <v>1</v>
      </c>
      <c r="I74" s="1">
        <v>3.71</v>
      </c>
      <c r="J74" s="1" t="s">
        <v>5</v>
      </c>
      <c r="K74" s="1">
        <v>2000</v>
      </c>
      <c r="L74" s="1">
        <v>0</v>
      </c>
      <c r="M74" s="1" t="s">
        <v>314</v>
      </c>
      <c r="N74" s="1" t="s">
        <v>101</v>
      </c>
      <c r="O74" s="1" t="str">
        <f>LEFT(N74,4)</f>
        <v>2022</v>
      </c>
      <c r="P74" s="1" t="str">
        <f>MID(N74, LEN(N74)-4, 4)</f>
        <v>2025</v>
      </c>
      <c r="Q74" s="1" t="s">
        <v>228</v>
      </c>
      <c r="R74" s="1" t="str">
        <f>LEFT(Q74,4)</f>
        <v>2022</v>
      </c>
      <c r="S74" s="1" t="str">
        <f>MID(Q74, LEN(Q74)-4, 4)</f>
        <v>2044</v>
      </c>
      <c r="T74" s="1">
        <v>36544</v>
      </c>
      <c r="U74" s="1">
        <v>0</v>
      </c>
      <c r="V74" s="1">
        <v>10000</v>
      </c>
      <c r="W74" s="1">
        <v>0</v>
      </c>
      <c r="X74" s="1">
        <v>30480.87</v>
      </c>
      <c r="Y74" s="1" t="s">
        <v>125</v>
      </c>
      <c r="Z74" s="1" t="s">
        <v>153</v>
      </c>
      <c r="AA74" s="1" t="s">
        <v>153</v>
      </c>
      <c r="AB74" s="1" t="s">
        <v>152</v>
      </c>
      <c r="AC74" s="1" t="s">
        <v>313</v>
      </c>
    </row>
    <row r="75" spans="1:29" s="1" customFormat="1" x14ac:dyDescent="0.25">
      <c r="A75" s="1" t="s">
        <v>299</v>
      </c>
      <c r="B75" s="1">
        <v>147.61000000000001</v>
      </c>
      <c r="C75" s="1" t="s">
        <v>311</v>
      </c>
      <c r="D75" s="1" t="s">
        <v>310</v>
      </c>
      <c r="E75" s="1" t="s">
        <v>10</v>
      </c>
      <c r="F75" s="1">
        <v>2.2400000000000002</v>
      </c>
      <c r="G75" s="1">
        <v>1.04</v>
      </c>
      <c r="H75" s="1">
        <v>1.2</v>
      </c>
      <c r="I75" s="1">
        <v>3.63</v>
      </c>
      <c r="J75" s="1" t="s">
        <v>5</v>
      </c>
      <c r="K75" s="1">
        <v>4000</v>
      </c>
      <c r="L75" s="1">
        <v>0</v>
      </c>
      <c r="M75" s="1" t="s">
        <v>312</v>
      </c>
      <c r="N75" s="1" t="s">
        <v>119</v>
      </c>
      <c r="O75" s="1" t="str">
        <f>LEFT(N75,4)</f>
        <v>2021</v>
      </c>
      <c r="P75" s="1" t="str">
        <f>MID(N75, LEN(N75)-4, 4)</f>
        <v>2024</v>
      </c>
      <c r="Q75" s="1" t="s">
        <v>223</v>
      </c>
      <c r="R75" s="1" t="str">
        <f>LEFT(Q75,4)</f>
        <v>2021</v>
      </c>
      <c r="S75" s="1" t="str">
        <f>MID(Q75, LEN(Q75)-4, 4)</f>
        <v>2044</v>
      </c>
      <c r="T75" s="1">
        <v>40992.6</v>
      </c>
      <c r="U75" s="1">
        <v>0</v>
      </c>
      <c r="V75" s="1">
        <v>15000</v>
      </c>
      <c r="W75" s="1">
        <v>0</v>
      </c>
      <c r="X75" s="1">
        <v>34981.93</v>
      </c>
      <c r="Y75" s="1" t="s">
        <v>125</v>
      </c>
      <c r="Z75" s="1" t="s">
        <v>153</v>
      </c>
      <c r="AA75" s="1" t="s">
        <v>153</v>
      </c>
      <c r="AB75" s="1" t="s">
        <v>152</v>
      </c>
      <c r="AC75" s="1" t="s">
        <v>151</v>
      </c>
    </row>
    <row r="76" spans="1:29" s="1" customFormat="1" x14ac:dyDescent="0.25">
      <c r="A76" s="1" t="s">
        <v>300</v>
      </c>
      <c r="B76" s="1">
        <v>199.8</v>
      </c>
      <c r="C76" s="1" t="s">
        <v>311</v>
      </c>
      <c r="D76" s="1" t="s">
        <v>310</v>
      </c>
      <c r="E76" s="1" t="s">
        <v>10</v>
      </c>
      <c r="F76" s="1">
        <v>2.2400000000000002</v>
      </c>
      <c r="G76" s="1">
        <v>1.04</v>
      </c>
      <c r="H76" s="1">
        <v>1.2</v>
      </c>
      <c r="I76" s="1">
        <v>3.65</v>
      </c>
      <c r="J76" s="1" t="s">
        <v>5</v>
      </c>
      <c r="K76" s="1">
        <v>2000</v>
      </c>
      <c r="L76" s="1">
        <v>0</v>
      </c>
      <c r="M76" s="1" t="s">
        <v>309</v>
      </c>
      <c r="N76" s="1" t="s">
        <v>119</v>
      </c>
      <c r="O76" s="1" t="str">
        <f>LEFT(N76,4)</f>
        <v>2021</v>
      </c>
      <c r="P76" s="1" t="str">
        <f>MID(N76, LEN(N76)-4, 4)</f>
        <v>2024</v>
      </c>
      <c r="Q76" s="1" t="s">
        <v>223</v>
      </c>
      <c r="R76" s="1" t="str">
        <f>LEFT(Q76,4)</f>
        <v>2021</v>
      </c>
      <c r="S76" s="1" t="str">
        <f>MID(Q76, LEN(Q76)-4, 4)</f>
        <v>2044</v>
      </c>
      <c r="T76" s="1">
        <v>40992.6</v>
      </c>
      <c r="U76" s="1">
        <v>0</v>
      </c>
      <c r="V76" s="1">
        <v>15000</v>
      </c>
      <c r="W76" s="1">
        <v>0</v>
      </c>
      <c r="X76" s="1">
        <v>34891.26</v>
      </c>
      <c r="Y76" s="1" t="s">
        <v>125</v>
      </c>
      <c r="Z76" s="1" t="s">
        <v>153</v>
      </c>
      <c r="AA76" s="1" t="s">
        <v>153</v>
      </c>
      <c r="AB76" s="1" t="s">
        <v>152</v>
      </c>
      <c r="AC76" s="1" t="s">
        <v>151</v>
      </c>
    </row>
    <row r="77" spans="1:29" s="1" customFormat="1" x14ac:dyDescent="0.25">
      <c r="A77" s="1" t="s">
        <v>296</v>
      </c>
      <c r="B77" s="1">
        <v>408.43</v>
      </c>
      <c r="C77" s="1" t="s">
        <v>311</v>
      </c>
      <c r="D77" s="1" t="s">
        <v>310</v>
      </c>
      <c r="E77" s="1" t="s">
        <v>10</v>
      </c>
      <c r="F77" s="1">
        <v>2.2400000000000002</v>
      </c>
      <c r="G77" s="1">
        <v>1.04</v>
      </c>
      <c r="H77" s="1">
        <v>1.2</v>
      </c>
      <c r="I77" s="1">
        <v>3.65</v>
      </c>
      <c r="J77" s="1" t="s">
        <v>5</v>
      </c>
      <c r="K77" s="1">
        <v>6000</v>
      </c>
      <c r="L77" s="1">
        <v>0</v>
      </c>
      <c r="M77" s="1" t="s">
        <v>309</v>
      </c>
      <c r="N77" s="1" t="s">
        <v>119</v>
      </c>
      <c r="O77" s="1" t="str">
        <f>LEFT(N77,4)</f>
        <v>2021</v>
      </c>
      <c r="P77" s="1" t="str">
        <f>MID(N77, LEN(N77)-4, 4)</f>
        <v>2024</v>
      </c>
      <c r="Q77" s="1" t="s">
        <v>223</v>
      </c>
      <c r="R77" s="1" t="str">
        <f>LEFT(Q77,4)</f>
        <v>2021</v>
      </c>
      <c r="S77" s="1" t="str">
        <f>MID(Q77, LEN(Q77)-4, 4)</f>
        <v>2044</v>
      </c>
      <c r="T77" s="1">
        <v>40992.6</v>
      </c>
      <c r="U77" s="1">
        <v>0</v>
      </c>
      <c r="V77" s="1">
        <v>15000</v>
      </c>
      <c r="W77" s="1">
        <v>0</v>
      </c>
      <c r="X77" s="1">
        <v>34891.26</v>
      </c>
      <c r="Y77" s="1" t="s">
        <v>125</v>
      </c>
      <c r="Z77" s="1" t="s">
        <v>153</v>
      </c>
      <c r="AA77" s="1" t="s">
        <v>153</v>
      </c>
      <c r="AB77" s="1" t="s">
        <v>152</v>
      </c>
      <c r="AC77" s="1" t="s">
        <v>151</v>
      </c>
    </row>
    <row r="78" spans="1:29" s="1" customFormat="1" x14ac:dyDescent="0.25">
      <c r="A78" s="1" t="s">
        <v>300</v>
      </c>
      <c r="B78" s="1">
        <v>199.8</v>
      </c>
      <c r="C78" s="1" t="s">
        <v>307</v>
      </c>
      <c r="D78" s="1" t="s">
        <v>306</v>
      </c>
      <c r="E78" s="1" t="s">
        <v>188</v>
      </c>
      <c r="F78" s="1">
        <v>3.79</v>
      </c>
      <c r="G78" s="1">
        <v>1.79</v>
      </c>
      <c r="H78" s="1">
        <v>2</v>
      </c>
      <c r="I78" s="1">
        <v>8.61</v>
      </c>
      <c r="J78" s="1" t="s">
        <v>5</v>
      </c>
      <c r="K78" s="1">
        <v>3500</v>
      </c>
      <c r="L78" s="1">
        <v>0</v>
      </c>
      <c r="M78" s="1" t="s">
        <v>305</v>
      </c>
      <c r="N78" s="1" t="s">
        <v>74</v>
      </c>
      <c r="O78" s="1" t="str">
        <f>LEFT(N78,4)</f>
        <v>2022</v>
      </c>
      <c r="P78" s="1" t="str">
        <f>MID(N78, LEN(N78)-4, 4)</f>
        <v>2024</v>
      </c>
      <c r="Q78" s="1" t="s">
        <v>228</v>
      </c>
      <c r="R78" s="1" t="str">
        <f>LEFT(Q78,4)</f>
        <v>2022</v>
      </c>
      <c r="S78" s="1" t="str">
        <f>MID(Q78, LEN(Q78)-4, 4)</f>
        <v>2044</v>
      </c>
      <c r="T78" s="1">
        <v>38387</v>
      </c>
      <c r="U78" s="1">
        <v>0</v>
      </c>
      <c r="V78" s="1">
        <v>20000</v>
      </c>
      <c r="W78" s="1">
        <v>0</v>
      </c>
      <c r="X78" s="1">
        <v>43747.5</v>
      </c>
      <c r="Y78" s="1" t="s">
        <v>125</v>
      </c>
      <c r="Z78" s="1" t="s">
        <v>153</v>
      </c>
      <c r="AA78" s="1" t="s">
        <v>153</v>
      </c>
      <c r="AB78" s="1" t="s">
        <v>152</v>
      </c>
    </row>
    <row r="79" spans="1:29" s="1" customFormat="1" x14ac:dyDescent="0.25">
      <c r="A79" s="1" t="s">
        <v>308</v>
      </c>
      <c r="B79" s="1">
        <v>256.5</v>
      </c>
      <c r="C79" s="1" t="s">
        <v>307</v>
      </c>
      <c r="D79" s="1" t="s">
        <v>306</v>
      </c>
      <c r="E79" s="1" t="s">
        <v>188</v>
      </c>
      <c r="F79" s="1">
        <v>3.79</v>
      </c>
      <c r="G79" s="1">
        <v>1.79</v>
      </c>
      <c r="H79" s="1">
        <v>2</v>
      </c>
      <c r="I79" s="1">
        <v>8.61</v>
      </c>
      <c r="J79" s="1" t="s">
        <v>5</v>
      </c>
      <c r="K79" s="1">
        <v>4000</v>
      </c>
      <c r="L79" s="1">
        <v>0</v>
      </c>
      <c r="M79" s="1" t="s">
        <v>305</v>
      </c>
      <c r="N79" s="1" t="s">
        <v>74</v>
      </c>
      <c r="O79" s="1" t="str">
        <f>LEFT(N79,4)</f>
        <v>2022</v>
      </c>
      <c r="P79" s="1" t="str">
        <f>MID(N79, LEN(N79)-4, 4)</f>
        <v>2024</v>
      </c>
      <c r="Q79" s="1" t="s">
        <v>228</v>
      </c>
      <c r="R79" s="1" t="str">
        <f>LEFT(Q79,4)</f>
        <v>2022</v>
      </c>
      <c r="S79" s="1" t="str">
        <f>MID(Q79, LEN(Q79)-4, 4)</f>
        <v>2044</v>
      </c>
      <c r="T79" s="1">
        <v>38387</v>
      </c>
      <c r="U79" s="1">
        <v>0</v>
      </c>
      <c r="V79" s="1">
        <v>20000</v>
      </c>
      <c r="W79" s="1">
        <v>0</v>
      </c>
      <c r="X79" s="1">
        <v>43747.5</v>
      </c>
      <c r="Y79" s="1" t="s">
        <v>125</v>
      </c>
      <c r="Z79" s="1" t="s">
        <v>153</v>
      </c>
      <c r="AA79" s="1" t="s">
        <v>153</v>
      </c>
      <c r="AB79" s="1" t="s">
        <v>152</v>
      </c>
    </row>
    <row r="80" spans="1:29" s="1" customFormat="1" x14ac:dyDescent="0.25">
      <c r="A80" s="1" t="s">
        <v>296</v>
      </c>
      <c r="B80" s="1">
        <v>408.43</v>
      </c>
      <c r="C80" s="1" t="s">
        <v>304</v>
      </c>
      <c r="D80" s="1" t="s">
        <v>303</v>
      </c>
      <c r="E80" s="1" t="s">
        <v>10</v>
      </c>
      <c r="F80" s="1">
        <v>1.5</v>
      </c>
      <c r="H80" s="1">
        <v>1.5</v>
      </c>
      <c r="I80" s="1">
        <v>3.65</v>
      </c>
      <c r="J80" s="1" t="s">
        <v>5</v>
      </c>
      <c r="K80" s="1">
        <v>3000</v>
      </c>
      <c r="L80" s="1">
        <v>0</v>
      </c>
      <c r="M80" s="1" t="s">
        <v>302</v>
      </c>
      <c r="N80" s="1" t="s">
        <v>119</v>
      </c>
      <c r="O80" s="1" t="str">
        <f>LEFT(N80,4)</f>
        <v>2021</v>
      </c>
      <c r="P80" s="1" t="str">
        <f>MID(N80, LEN(N80)-4, 4)</f>
        <v>2024</v>
      </c>
      <c r="Q80" s="1" t="s">
        <v>223</v>
      </c>
      <c r="R80" s="1" t="str">
        <f>LEFT(Q80,4)</f>
        <v>2021</v>
      </c>
      <c r="S80" s="1" t="str">
        <f>MID(Q80, LEN(Q80)-4, 4)</f>
        <v>2044</v>
      </c>
      <c r="T80" s="1">
        <v>40999.599999999999</v>
      </c>
      <c r="U80" s="1">
        <v>0</v>
      </c>
      <c r="V80" s="1">
        <v>15000</v>
      </c>
      <c r="W80" s="1">
        <v>0</v>
      </c>
      <c r="X80" s="1">
        <v>35111.19</v>
      </c>
      <c r="Y80" s="1" t="s">
        <v>125</v>
      </c>
      <c r="Z80" s="1" t="s">
        <v>153</v>
      </c>
      <c r="AA80" s="1" t="s">
        <v>153</v>
      </c>
      <c r="AB80" s="1" t="s">
        <v>152</v>
      </c>
      <c r="AC80" s="1" t="s">
        <v>151</v>
      </c>
    </row>
    <row r="81" spans="1:29" s="1" customFormat="1" x14ac:dyDescent="0.25">
      <c r="A81" s="1" t="s">
        <v>299</v>
      </c>
      <c r="B81" s="1">
        <v>147.61000000000001</v>
      </c>
      <c r="C81" s="1" t="s">
        <v>192</v>
      </c>
      <c r="D81" s="1" t="s">
        <v>158</v>
      </c>
      <c r="E81" s="1" t="s">
        <v>20</v>
      </c>
      <c r="F81" s="1">
        <v>1</v>
      </c>
      <c r="H81" s="1">
        <v>1</v>
      </c>
      <c r="I81" s="1">
        <v>10.62</v>
      </c>
      <c r="J81" s="1" t="s">
        <v>5</v>
      </c>
      <c r="K81" s="1">
        <v>6000</v>
      </c>
      <c r="L81" s="1">
        <v>0</v>
      </c>
      <c r="M81" s="1" t="s">
        <v>301</v>
      </c>
      <c r="N81" s="1" t="s">
        <v>171</v>
      </c>
      <c r="O81" s="1" t="str">
        <f>LEFT(N81,4)</f>
        <v>2021</v>
      </c>
      <c r="P81" s="1" t="str">
        <f>MID(N81, LEN(N81)-4, 4)</f>
        <v>2023</v>
      </c>
      <c r="Q81" s="1" t="s">
        <v>223</v>
      </c>
      <c r="R81" s="1" t="str">
        <f>LEFT(Q81,4)</f>
        <v>2021</v>
      </c>
      <c r="S81" s="1" t="str">
        <f>MID(Q81, LEN(Q81)-4, 4)</f>
        <v>2044</v>
      </c>
      <c r="T81" s="1">
        <v>115639.5</v>
      </c>
      <c r="U81" s="1">
        <v>0</v>
      </c>
      <c r="V81" s="1">
        <v>41500</v>
      </c>
      <c r="W81" s="1">
        <v>0</v>
      </c>
      <c r="X81" s="1">
        <v>101588.27</v>
      </c>
      <c r="Y81" s="1" t="s">
        <v>125</v>
      </c>
      <c r="Z81" s="1" t="s">
        <v>153</v>
      </c>
      <c r="AA81" s="1" t="s">
        <v>153</v>
      </c>
      <c r="AB81" s="1" t="s">
        <v>152</v>
      </c>
      <c r="AC81" s="1" t="s">
        <v>151</v>
      </c>
    </row>
    <row r="82" spans="1:29" s="1" customFormat="1" x14ac:dyDescent="0.25">
      <c r="A82" s="1" t="s">
        <v>300</v>
      </c>
      <c r="B82" s="1">
        <v>199.8</v>
      </c>
      <c r="C82" s="1" t="s">
        <v>192</v>
      </c>
      <c r="D82" s="1" t="s">
        <v>158</v>
      </c>
      <c r="E82" s="1" t="s">
        <v>20</v>
      </c>
      <c r="F82" s="1">
        <v>1.1499999999999999</v>
      </c>
      <c r="H82" s="1">
        <v>1.1499999999999999</v>
      </c>
      <c r="I82" s="1">
        <v>9.83</v>
      </c>
      <c r="J82" s="1" t="s">
        <v>5</v>
      </c>
      <c r="K82" s="1">
        <v>5500</v>
      </c>
      <c r="L82" s="1">
        <v>0</v>
      </c>
      <c r="M82" s="1" t="s">
        <v>301</v>
      </c>
      <c r="N82" s="1" t="s">
        <v>171</v>
      </c>
      <c r="O82" s="1" t="str">
        <f>LEFT(N82,4)</f>
        <v>2021</v>
      </c>
      <c r="P82" s="1" t="str">
        <f>MID(N82, LEN(N82)-4, 4)</f>
        <v>2023</v>
      </c>
      <c r="Q82" s="1" t="s">
        <v>223</v>
      </c>
      <c r="R82" s="1" t="str">
        <f>LEFT(Q82,4)</f>
        <v>2021</v>
      </c>
      <c r="S82" s="1" t="str">
        <f>MID(Q82, LEN(Q82)-4, 4)</f>
        <v>2044</v>
      </c>
      <c r="T82" s="1">
        <v>115639.5</v>
      </c>
      <c r="U82" s="1">
        <v>0</v>
      </c>
      <c r="V82" s="1">
        <v>43000</v>
      </c>
      <c r="W82" s="1">
        <v>0</v>
      </c>
      <c r="X82" s="1">
        <v>88704.87</v>
      </c>
      <c r="Y82" s="1" t="s">
        <v>125</v>
      </c>
      <c r="Z82" s="1" t="s">
        <v>153</v>
      </c>
      <c r="AA82" s="1" t="s">
        <v>153</v>
      </c>
      <c r="AB82" s="1" t="s">
        <v>152</v>
      </c>
      <c r="AC82" s="1" t="s">
        <v>151</v>
      </c>
    </row>
    <row r="83" spans="1:29" s="1" customFormat="1" x14ac:dyDescent="0.25">
      <c r="A83" s="1" t="s">
        <v>300</v>
      </c>
      <c r="B83" s="1">
        <v>199.8</v>
      </c>
      <c r="C83" s="1" t="s">
        <v>216</v>
      </c>
      <c r="D83" s="1" t="s">
        <v>215</v>
      </c>
      <c r="E83" s="1" t="s">
        <v>20</v>
      </c>
      <c r="F83" s="1">
        <v>2.1</v>
      </c>
      <c r="G83" s="1">
        <v>0.8</v>
      </c>
      <c r="H83" s="1">
        <v>0.4</v>
      </c>
      <c r="I83" s="1">
        <v>2.41</v>
      </c>
      <c r="J83" s="1" t="s">
        <v>5</v>
      </c>
      <c r="K83" s="1">
        <v>4000</v>
      </c>
      <c r="L83" s="1">
        <v>0</v>
      </c>
      <c r="M83" s="1" t="s">
        <v>214</v>
      </c>
      <c r="N83" s="1" t="s">
        <v>74</v>
      </c>
      <c r="O83" s="1" t="str">
        <f>LEFT(N83,4)</f>
        <v>2022</v>
      </c>
      <c r="P83" s="1" t="str">
        <f>MID(N83, LEN(N83)-4, 4)</f>
        <v>2024</v>
      </c>
      <c r="Q83" s="1" t="s">
        <v>213</v>
      </c>
      <c r="R83" s="1" t="str">
        <f>LEFT(Q83,4)</f>
        <v>2022</v>
      </c>
      <c r="S83" s="1" t="str">
        <f>MID(Q83, LEN(Q83)-4, 4)</f>
        <v>2043</v>
      </c>
      <c r="T83" s="1">
        <v>30000</v>
      </c>
      <c r="U83" s="1">
        <v>0</v>
      </c>
      <c r="V83" s="1">
        <v>8000</v>
      </c>
      <c r="W83" s="1">
        <v>0</v>
      </c>
      <c r="X83" s="1">
        <v>20503.689999999999</v>
      </c>
      <c r="Y83" s="1" t="s">
        <v>125</v>
      </c>
      <c r="Z83" s="1" t="s">
        <v>153</v>
      </c>
      <c r="AA83" s="1" t="s">
        <v>153</v>
      </c>
      <c r="AB83" s="1" t="s">
        <v>152</v>
      </c>
      <c r="AC83" s="1" t="s">
        <v>212</v>
      </c>
    </row>
    <row r="84" spans="1:29" s="1" customFormat="1" x14ac:dyDescent="0.25">
      <c r="A84" s="1" t="s">
        <v>299</v>
      </c>
      <c r="B84" s="1">
        <v>147.61000000000001</v>
      </c>
      <c r="C84" s="1" t="s">
        <v>183</v>
      </c>
      <c r="D84" s="1" t="s">
        <v>158</v>
      </c>
      <c r="E84" s="1" t="s">
        <v>20</v>
      </c>
      <c r="F84" s="1">
        <v>1.1200000000000001</v>
      </c>
      <c r="G84" s="1">
        <v>0.87</v>
      </c>
      <c r="H84" s="1">
        <v>0.25</v>
      </c>
      <c r="I84" s="1">
        <v>3.19</v>
      </c>
      <c r="J84" s="1" t="s">
        <v>5</v>
      </c>
      <c r="K84" s="1">
        <v>2500</v>
      </c>
      <c r="L84" s="1">
        <v>0</v>
      </c>
      <c r="M84" s="1" t="s">
        <v>297</v>
      </c>
      <c r="N84" s="1" t="s">
        <v>163</v>
      </c>
      <c r="O84" s="1" t="str">
        <f>LEFT(N84,4)</f>
        <v>2020</v>
      </c>
      <c r="P84" s="1" t="str">
        <f>MID(N84, LEN(N84)-4, 4)</f>
        <v>2023</v>
      </c>
      <c r="Q84" s="1" t="s">
        <v>181</v>
      </c>
      <c r="R84" s="1" t="str">
        <f>LEFT(Q84,4)</f>
        <v>2020</v>
      </c>
      <c r="S84" s="1" t="str">
        <f>MID(Q84, LEN(Q84)-4, 4)</f>
        <v>2043</v>
      </c>
      <c r="T84" s="1">
        <v>39201</v>
      </c>
      <c r="U84" s="1">
        <v>0</v>
      </c>
      <c r="V84" s="1">
        <v>12000</v>
      </c>
      <c r="W84" s="1">
        <v>0</v>
      </c>
      <c r="X84" s="1">
        <v>28661.53</v>
      </c>
      <c r="Y84" s="1" t="s">
        <v>125</v>
      </c>
      <c r="Z84" s="1" t="s">
        <v>153</v>
      </c>
      <c r="AA84" s="1" t="s">
        <v>153</v>
      </c>
      <c r="AB84" s="1" t="s">
        <v>152</v>
      </c>
      <c r="AC84" s="1" t="s">
        <v>151</v>
      </c>
    </row>
    <row r="85" spans="1:29" s="1" customFormat="1" x14ac:dyDescent="0.25">
      <c r="A85" s="1" t="s">
        <v>298</v>
      </c>
      <c r="B85" s="1">
        <v>273.11</v>
      </c>
      <c r="C85" s="1" t="s">
        <v>183</v>
      </c>
      <c r="D85" s="1" t="s">
        <v>158</v>
      </c>
      <c r="E85" s="1" t="s">
        <v>20</v>
      </c>
      <c r="F85" s="1">
        <v>1.1200000000000001</v>
      </c>
      <c r="G85" s="1">
        <v>0.67</v>
      </c>
      <c r="H85" s="1">
        <v>0.45</v>
      </c>
      <c r="I85" s="1">
        <v>3.19</v>
      </c>
      <c r="J85" s="1" t="s">
        <v>5</v>
      </c>
      <c r="K85" s="1">
        <v>2000</v>
      </c>
      <c r="L85" s="1">
        <v>0</v>
      </c>
      <c r="M85" s="1" t="s">
        <v>297</v>
      </c>
      <c r="N85" s="1" t="s">
        <v>163</v>
      </c>
      <c r="O85" s="1" t="str">
        <f>LEFT(N85,4)</f>
        <v>2020</v>
      </c>
      <c r="P85" s="1" t="str">
        <f>MID(N85, LEN(N85)-4, 4)</f>
        <v>2023</v>
      </c>
      <c r="Q85" s="1" t="s">
        <v>181</v>
      </c>
      <c r="R85" s="1" t="str">
        <f>LEFT(Q85,4)</f>
        <v>2020</v>
      </c>
      <c r="S85" s="1" t="str">
        <f>MID(Q85, LEN(Q85)-4, 4)</f>
        <v>2043</v>
      </c>
      <c r="T85" s="1">
        <v>39201</v>
      </c>
      <c r="U85" s="1">
        <v>0</v>
      </c>
      <c r="V85" s="1">
        <v>14000</v>
      </c>
      <c r="W85" s="1">
        <v>0</v>
      </c>
      <c r="X85" s="1">
        <v>28661.53</v>
      </c>
      <c r="Y85" s="1" t="s">
        <v>125</v>
      </c>
      <c r="Z85" s="1" t="s">
        <v>153</v>
      </c>
      <c r="AA85" s="1" t="s">
        <v>153</v>
      </c>
      <c r="AB85" s="1" t="s">
        <v>152</v>
      </c>
      <c r="AC85" s="1" t="s">
        <v>151</v>
      </c>
    </row>
    <row r="86" spans="1:29" s="1" customFormat="1" x14ac:dyDescent="0.25">
      <c r="A86" s="1" t="s">
        <v>296</v>
      </c>
      <c r="B86" s="1">
        <v>408.43</v>
      </c>
      <c r="C86" s="1" t="s">
        <v>295</v>
      </c>
      <c r="D86" s="1" t="s">
        <v>294</v>
      </c>
      <c r="E86" s="1" t="s">
        <v>188</v>
      </c>
      <c r="F86" s="1">
        <v>6.6</v>
      </c>
      <c r="G86" s="1">
        <v>4.5999999999999996</v>
      </c>
      <c r="H86" s="1">
        <v>2</v>
      </c>
      <c r="I86" s="1">
        <v>15.46</v>
      </c>
      <c r="J86" s="1" t="s">
        <v>5</v>
      </c>
      <c r="K86" s="1">
        <v>7000</v>
      </c>
      <c r="L86" s="1">
        <v>0</v>
      </c>
      <c r="M86" s="1" t="s">
        <v>293</v>
      </c>
      <c r="N86" s="1" t="s">
        <v>74</v>
      </c>
      <c r="O86" s="1" t="str">
        <f>LEFT(N86,4)</f>
        <v>2022</v>
      </c>
      <c r="P86" s="1" t="str">
        <f>MID(N86, LEN(N86)-4, 4)</f>
        <v>2024</v>
      </c>
      <c r="Q86" s="1" t="s">
        <v>292</v>
      </c>
      <c r="R86" s="1" t="str">
        <f>LEFT(Q86,4)</f>
        <v>2022</v>
      </c>
      <c r="S86" s="1" t="str">
        <f>MID(Q86, LEN(Q86)-4, 4)</f>
        <v>2039</v>
      </c>
      <c r="T86" s="1">
        <v>76000</v>
      </c>
      <c r="U86" s="1">
        <v>0</v>
      </c>
      <c r="V86" s="1">
        <v>20000</v>
      </c>
      <c r="W86" s="1">
        <v>0</v>
      </c>
      <c r="X86" s="1">
        <v>131398.04999999999</v>
      </c>
      <c r="Y86" s="1" t="s">
        <v>125</v>
      </c>
      <c r="Z86" s="1" t="s">
        <v>153</v>
      </c>
      <c r="AA86" s="1" t="s">
        <v>153</v>
      </c>
      <c r="AB86" s="1" t="s">
        <v>152</v>
      </c>
    </row>
    <row r="87" spans="1:29" s="1" customFormat="1" x14ac:dyDescent="0.25">
      <c r="A87" s="1" t="s">
        <v>284</v>
      </c>
      <c r="B87" s="1">
        <v>32.03</v>
      </c>
      <c r="C87" s="1" t="s">
        <v>291</v>
      </c>
      <c r="D87" s="1" t="s">
        <v>290</v>
      </c>
      <c r="E87" s="1" t="s">
        <v>20</v>
      </c>
      <c r="F87" s="1">
        <v>3</v>
      </c>
      <c r="G87" s="1">
        <v>1.5</v>
      </c>
      <c r="H87" s="1">
        <v>1.5</v>
      </c>
      <c r="I87" s="1">
        <v>5.68</v>
      </c>
      <c r="J87" s="1" t="s">
        <v>5</v>
      </c>
      <c r="K87" s="1">
        <v>15000</v>
      </c>
      <c r="L87" s="1">
        <v>0</v>
      </c>
      <c r="M87" s="1" t="s">
        <v>289</v>
      </c>
      <c r="N87" s="1" t="s">
        <v>288</v>
      </c>
      <c r="O87" s="1" t="str">
        <f>LEFT(N87,4)</f>
        <v>2023</v>
      </c>
      <c r="P87" s="1" t="str">
        <f>MID(N87, LEN(N87)-4, 4)</f>
        <v>2023</v>
      </c>
      <c r="Q87" s="1" t="s">
        <v>287</v>
      </c>
      <c r="R87" s="1" t="str">
        <f>LEFT(Q87,4)</f>
        <v>2023</v>
      </c>
      <c r="S87" s="1" t="str">
        <f>MID(Q87, LEN(Q87)-4, 4)</f>
        <v>2039</v>
      </c>
      <c r="T87" s="1">
        <v>29993.27</v>
      </c>
      <c r="U87" s="1">
        <v>0</v>
      </c>
      <c r="V87" s="1">
        <v>15000</v>
      </c>
      <c r="W87" s="1">
        <v>0</v>
      </c>
      <c r="X87" s="1">
        <v>32961.33</v>
      </c>
      <c r="Y87" s="1" t="s">
        <v>125</v>
      </c>
      <c r="Z87" s="1" t="s">
        <v>153</v>
      </c>
      <c r="AA87" s="1" t="s">
        <v>153</v>
      </c>
      <c r="AB87" s="1" t="s">
        <v>286</v>
      </c>
      <c r="AC87" s="1" t="s">
        <v>285</v>
      </c>
    </row>
    <row r="88" spans="1:29" s="1" customFormat="1" x14ac:dyDescent="0.25">
      <c r="A88" s="1" t="s">
        <v>284</v>
      </c>
      <c r="B88" s="1">
        <v>32.03</v>
      </c>
      <c r="C88" s="1" t="s">
        <v>282</v>
      </c>
      <c r="D88" s="1" t="s">
        <v>281</v>
      </c>
      <c r="E88" s="1" t="s">
        <v>268</v>
      </c>
      <c r="F88" s="1">
        <v>2.6</v>
      </c>
      <c r="G88" s="1">
        <v>2</v>
      </c>
      <c r="H88" s="1">
        <v>0.6</v>
      </c>
      <c r="I88" s="1">
        <v>2.67</v>
      </c>
      <c r="J88" s="1" t="s">
        <v>5</v>
      </c>
      <c r="K88" s="1">
        <v>5000</v>
      </c>
      <c r="L88" s="1">
        <v>0</v>
      </c>
      <c r="M88" s="1" t="s">
        <v>280</v>
      </c>
      <c r="N88" s="1" t="s">
        <v>101</v>
      </c>
      <c r="O88" s="1" t="str">
        <f>LEFT(N88,4)</f>
        <v>2022</v>
      </c>
      <c r="P88" s="1" t="str">
        <f>MID(N88, LEN(N88)-4, 4)</f>
        <v>2025</v>
      </c>
      <c r="Q88" s="1" t="s">
        <v>279</v>
      </c>
      <c r="R88" s="1" t="str">
        <f>LEFT(Q88,4)</f>
        <v>2022</v>
      </c>
      <c r="S88" s="1" t="str">
        <f>MID(Q88, LEN(Q88)-4, 4)</f>
        <v>2038</v>
      </c>
      <c r="T88" s="1">
        <v>36192</v>
      </c>
      <c r="U88" s="1">
        <v>0</v>
      </c>
      <c r="V88" s="1">
        <v>6000</v>
      </c>
      <c r="W88" s="1">
        <v>0</v>
      </c>
      <c r="X88" s="1">
        <v>22362.23</v>
      </c>
      <c r="Y88" s="1" t="s">
        <v>125</v>
      </c>
      <c r="Z88" s="1" t="s">
        <v>153</v>
      </c>
      <c r="AA88" s="1" t="s">
        <v>153</v>
      </c>
      <c r="AB88" s="1" t="s">
        <v>152</v>
      </c>
      <c r="AC88" s="1" t="s">
        <v>272</v>
      </c>
    </row>
    <row r="89" spans="1:29" s="1" customFormat="1" x14ac:dyDescent="0.25">
      <c r="A89" s="1" t="s">
        <v>283</v>
      </c>
      <c r="B89" s="1">
        <v>39.86</v>
      </c>
      <c r="C89" s="1" t="s">
        <v>282</v>
      </c>
      <c r="D89" s="1" t="s">
        <v>281</v>
      </c>
      <c r="E89" s="1" t="s">
        <v>268</v>
      </c>
      <c r="F89" s="1">
        <v>2.6</v>
      </c>
      <c r="G89" s="1">
        <v>1.8</v>
      </c>
      <c r="H89" s="1">
        <v>0.8</v>
      </c>
      <c r="I89" s="1">
        <v>2.67</v>
      </c>
      <c r="J89" s="1" t="s">
        <v>5</v>
      </c>
      <c r="K89" s="1">
        <v>3000</v>
      </c>
      <c r="L89" s="1">
        <v>0</v>
      </c>
      <c r="M89" s="1" t="s">
        <v>280</v>
      </c>
      <c r="N89" s="1" t="s">
        <v>101</v>
      </c>
      <c r="O89" s="1" t="str">
        <f>LEFT(N89,4)</f>
        <v>2022</v>
      </c>
      <c r="P89" s="1" t="str">
        <f>MID(N89, LEN(N89)-4, 4)</f>
        <v>2025</v>
      </c>
      <c r="Q89" s="1" t="s">
        <v>279</v>
      </c>
      <c r="R89" s="1" t="str">
        <f>LEFT(Q89,4)</f>
        <v>2022</v>
      </c>
      <c r="S89" s="1" t="str">
        <f>MID(Q89, LEN(Q89)-4, 4)</f>
        <v>2038</v>
      </c>
      <c r="T89" s="1">
        <v>36192</v>
      </c>
      <c r="U89" s="1">
        <v>0</v>
      </c>
      <c r="V89" s="1">
        <v>8000</v>
      </c>
      <c r="W89" s="1">
        <v>0</v>
      </c>
      <c r="X89" s="1">
        <v>22362.23</v>
      </c>
      <c r="Y89" s="1" t="s">
        <v>125</v>
      </c>
      <c r="Z89" s="1" t="s">
        <v>153</v>
      </c>
      <c r="AA89" s="1" t="s">
        <v>153</v>
      </c>
      <c r="AB89" s="1" t="s">
        <v>152</v>
      </c>
      <c r="AC89" s="1" t="s">
        <v>272</v>
      </c>
    </row>
    <row r="90" spans="1:29" s="1" customFormat="1" x14ac:dyDescent="0.25">
      <c r="A90" s="1" t="s">
        <v>278</v>
      </c>
      <c r="B90" s="1">
        <v>35.51</v>
      </c>
      <c r="C90" s="1" t="s">
        <v>276</v>
      </c>
      <c r="D90" s="1" t="s">
        <v>275</v>
      </c>
      <c r="E90" s="1" t="s">
        <v>188</v>
      </c>
      <c r="F90" s="1">
        <v>9.08</v>
      </c>
      <c r="G90" s="1">
        <v>5.08</v>
      </c>
      <c r="H90" s="1">
        <v>4</v>
      </c>
      <c r="I90" s="1">
        <v>8.67</v>
      </c>
      <c r="J90" s="1" t="s">
        <v>5</v>
      </c>
      <c r="K90" s="1">
        <v>10000</v>
      </c>
      <c r="L90" s="1">
        <v>0</v>
      </c>
      <c r="M90" s="1" t="s">
        <v>274</v>
      </c>
      <c r="N90" s="1" t="s">
        <v>63</v>
      </c>
      <c r="O90" s="1" t="str">
        <f>LEFT(N90,4)</f>
        <v>2022</v>
      </c>
      <c r="P90" s="1" t="str">
        <f>MID(N90, LEN(N90)-4, 4)</f>
        <v>2026</v>
      </c>
      <c r="Q90" s="1" t="s">
        <v>273</v>
      </c>
      <c r="R90" s="1" t="str">
        <f>LEFT(Q90,4)</f>
        <v>2022</v>
      </c>
      <c r="S90" s="1" t="str">
        <f>MID(Q90, LEN(Q90)-4, 4)</f>
        <v>2035</v>
      </c>
      <c r="T90" s="1">
        <v>105841</v>
      </c>
      <c r="U90" s="1">
        <v>0</v>
      </c>
      <c r="V90" s="1">
        <v>40000</v>
      </c>
      <c r="W90" s="1">
        <v>0</v>
      </c>
      <c r="X90" s="1">
        <v>70769.7</v>
      </c>
      <c r="Y90" s="1" t="s">
        <v>125</v>
      </c>
      <c r="Z90" s="1" t="s">
        <v>153</v>
      </c>
      <c r="AA90" s="1" t="s">
        <v>153</v>
      </c>
      <c r="AB90" s="1" t="s">
        <v>152</v>
      </c>
      <c r="AC90" s="1" t="s">
        <v>272</v>
      </c>
    </row>
    <row r="91" spans="1:29" s="1" customFormat="1" x14ac:dyDescent="0.25">
      <c r="A91" s="1" t="s">
        <v>277</v>
      </c>
      <c r="B91" s="1">
        <v>60.53</v>
      </c>
      <c r="C91" s="1" t="s">
        <v>276</v>
      </c>
      <c r="D91" s="1" t="s">
        <v>275</v>
      </c>
      <c r="E91" s="1" t="s">
        <v>188</v>
      </c>
      <c r="F91" s="1">
        <v>9.08</v>
      </c>
      <c r="G91" s="1">
        <v>5.08</v>
      </c>
      <c r="H91" s="1">
        <v>4</v>
      </c>
      <c r="I91" s="1">
        <v>8.67</v>
      </c>
      <c r="J91" s="1" t="s">
        <v>5</v>
      </c>
      <c r="K91" s="1">
        <v>5000</v>
      </c>
      <c r="L91" s="1">
        <v>0</v>
      </c>
      <c r="M91" s="1" t="s">
        <v>274</v>
      </c>
      <c r="N91" s="1" t="s">
        <v>63</v>
      </c>
      <c r="O91" s="1" t="str">
        <f>LEFT(N91,4)</f>
        <v>2022</v>
      </c>
      <c r="P91" s="1" t="str">
        <f>MID(N91, LEN(N91)-4, 4)</f>
        <v>2026</v>
      </c>
      <c r="Q91" s="1" t="s">
        <v>273</v>
      </c>
      <c r="R91" s="1" t="str">
        <f>LEFT(Q91,4)</f>
        <v>2022</v>
      </c>
      <c r="S91" s="1" t="str">
        <f>MID(Q91, LEN(Q91)-4, 4)</f>
        <v>2035</v>
      </c>
      <c r="T91" s="1">
        <v>105841</v>
      </c>
      <c r="U91" s="1">
        <v>0</v>
      </c>
      <c r="V91" s="1">
        <v>40000</v>
      </c>
      <c r="W91" s="1">
        <v>0</v>
      </c>
      <c r="X91" s="1">
        <v>70769.7</v>
      </c>
      <c r="Y91" s="1" t="s">
        <v>125</v>
      </c>
      <c r="Z91" s="1" t="s">
        <v>153</v>
      </c>
      <c r="AA91" s="1" t="s">
        <v>153</v>
      </c>
      <c r="AB91" s="1" t="s">
        <v>152</v>
      </c>
      <c r="AC91" s="1" t="s">
        <v>272</v>
      </c>
    </row>
    <row r="92" spans="1:29" s="1" customFormat="1" x14ac:dyDescent="0.25">
      <c r="A92" s="1" t="s">
        <v>271</v>
      </c>
      <c r="B92" s="1">
        <v>85.93</v>
      </c>
      <c r="C92" s="1" t="s">
        <v>276</v>
      </c>
      <c r="D92" s="1" t="s">
        <v>275</v>
      </c>
      <c r="E92" s="1" t="s">
        <v>188</v>
      </c>
      <c r="F92" s="1">
        <v>9.08</v>
      </c>
      <c r="G92" s="1">
        <v>5.08</v>
      </c>
      <c r="H92" s="1">
        <v>4</v>
      </c>
      <c r="I92" s="1">
        <v>8.67</v>
      </c>
      <c r="J92" s="1" t="s">
        <v>5</v>
      </c>
      <c r="K92" s="1">
        <v>5000</v>
      </c>
      <c r="L92" s="1">
        <v>0</v>
      </c>
      <c r="M92" s="1" t="s">
        <v>274</v>
      </c>
      <c r="N92" s="1" t="s">
        <v>63</v>
      </c>
      <c r="O92" s="1" t="str">
        <f>LEFT(N92,4)</f>
        <v>2022</v>
      </c>
      <c r="P92" s="1" t="str">
        <f>MID(N92, LEN(N92)-4, 4)</f>
        <v>2026</v>
      </c>
      <c r="Q92" s="1" t="s">
        <v>273</v>
      </c>
      <c r="R92" s="1" t="str">
        <f>LEFT(Q92,4)</f>
        <v>2022</v>
      </c>
      <c r="S92" s="1" t="str">
        <f>MID(Q92, LEN(Q92)-4, 4)</f>
        <v>2035</v>
      </c>
      <c r="T92" s="1">
        <v>105841</v>
      </c>
      <c r="U92" s="1">
        <v>0</v>
      </c>
      <c r="V92" s="1">
        <v>40000</v>
      </c>
      <c r="W92" s="1">
        <v>0</v>
      </c>
      <c r="X92" s="1">
        <v>70769.7</v>
      </c>
      <c r="Y92" s="1" t="s">
        <v>125</v>
      </c>
      <c r="Z92" s="1" t="s">
        <v>153</v>
      </c>
      <c r="AA92" s="1" t="s">
        <v>153</v>
      </c>
      <c r="AB92" s="1" t="s">
        <v>152</v>
      </c>
      <c r="AC92" s="1" t="s">
        <v>272</v>
      </c>
    </row>
    <row r="93" spans="1:29" s="1" customFormat="1" x14ac:dyDescent="0.25">
      <c r="A93" s="1" t="s">
        <v>271</v>
      </c>
      <c r="B93" s="1">
        <v>85.93</v>
      </c>
      <c r="C93" s="1" t="s">
        <v>270</v>
      </c>
      <c r="D93" s="1" t="s">
        <v>269</v>
      </c>
      <c r="E93" s="1" t="s">
        <v>268</v>
      </c>
      <c r="F93" s="1">
        <v>2.88</v>
      </c>
      <c r="G93" s="1">
        <v>2.33</v>
      </c>
      <c r="H93" s="1">
        <v>0.55000000000000004</v>
      </c>
      <c r="I93" s="1">
        <v>2.5499999999999998</v>
      </c>
      <c r="J93" s="1" t="s">
        <v>5</v>
      </c>
      <c r="K93" s="1">
        <v>5500</v>
      </c>
      <c r="L93" s="1">
        <v>0</v>
      </c>
      <c r="M93" s="1" t="s">
        <v>267</v>
      </c>
      <c r="N93" s="1" t="s">
        <v>163</v>
      </c>
      <c r="O93" s="1" t="str">
        <f>LEFT(N93,4)</f>
        <v>2020</v>
      </c>
      <c r="P93" s="1" t="str">
        <f>MID(N93, LEN(N93)-4, 4)</f>
        <v>2023</v>
      </c>
      <c r="Q93" s="1" t="s">
        <v>266</v>
      </c>
      <c r="R93" s="1" t="str">
        <f>LEFT(Q93,4)</f>
        <v>2020</v>
      </c>
      <c r="S93" s="1" t="str">
        <f>MID(Q93, LEN(Q93)-4, 4)</f>
        <v>2034</v>
      </c>
      <c r="T93" s="1">
        <v>57041.7</v>
      </c>
      <c r="U93" s="1">
        <v>51541.7</v>
      </c>
      <c r="V93" s="1">
        <v>5500</v>
      </c>
      <c r="W93" s="1">
        <v>0</v>
      </c>
      <c r="X93" s="1">
        <v>22692.91</v>
      </c>
      <c r="Y93" s="1" t="s">
        <v>125</v>
      </c>
      <c r="Z93" s="1" t="s">
        <v>153</v>
      </c>
      <c r="AA93" s="1" t="s">
        <v>153</v>
      </c>
      <c r="AB93" s="1" t="s">
        <v>152</v>
      </c>
      <c r="AC93" s="1" t="s">
        <v>265</v>
      </c>
    </row>
    <row r="94" spans="1:29" s="1" customFormat="1" x14ac:dyDescent="0.25">
      <c r="A94" s="1" t="s">
        <v>217</v>
      </c>
      <c r="B94" s="1">
        <v>288.42</v>
      </c>
      <c r="C94" s="1" t="s">
        <v>264</v>
      </c>
      <c r="D94" s="1" t="s">
        <v>263</v>
      </c>
      <c r="E94" s="1" t="s">
        <v>69</v>
      </c>
      <c r="F94" s="1">
        <v>5.36</v>
      </c>
      <c r="G94" s="1">
        <v>2.56</v>
      </c>
      <c r="H94" s="1">
        <v>2.8</v>
      </c>
      <c r="I94" s="1">
        <v>22.99</v>
      </c>
      <c r="J94" s="1" t="s">
        <v>5</v>
      </c>
      <c r="K94" s="1">
        <v>6000</v>
      </c>
      <c r="L94" s="1">
        <v>0</v>
      </c>
      <c r="M94" s="1" t="s">
        <v>262</v>
      </c>
      <c r="N94" s="1" t="s">
        <v>63</v>
      </c>
      <c r="O94" s="1" t="str">
        <f>LEFT(N94,4)</f>
        <v>2022</v>
      </c>
      <c r="P94" s="1" t="str">
        <f>MID(N94, LEN(N94)-4, 4)</f>
        <v>2026</v>
      </c>
      <c r="Q94" s="1" t="s">
        <v>261</v>
      </c>
      <c r="R94" s="1" t="str">
        <f>LEFT(Q94,4)</f>
        <v>2022</v>
      </c>
      <c r="S94" s="1" t="str">
        <f>MID(Q94, LEN(Q94)-4, 4)</f>
        <v>2046</v>
      </c>
      <c r="T94" s="1">
        <v>119014</v>
      </c>
      <c r="U94" s="1">
        <v>0</v>
      </c>
      <c r="V94" s="1">
        <v>73000</v>
      </c>
      <c r="W94" s="1">
        <v>0</v>
      </c>
      <c r="X94" s="1">
        <v>169137</v>
      </c>
      <c r="Y94" s="1" t="s">
        <v>109</v>
      </c>
      <c r="Z94" s="1" t="s">
        <v>153</v>
      </c>
      <c r="AA94" s="1" t="s">
        <v>153</v>
      </c>
      <c r="AB94" s="1" t="s">
        <v>185</v>
      </c>
      <c r="AC94" s="1" t="s">
        <v>237</v>
      </c>
    </row>
    <row r="95" spans="1:29" s="1" customFormat="1" x14ac:dyDescent="0.25">
      <c r="A95" s="1" t="s">
        <v>218</v>
      </c>
      <c r="B95" s="1">
        <v>112</v>
      </c>
      <c r="C95" s="1" t="s">
        <v>260</v>
      </c>
      <c r="D95" s="1" t="s">
        <v>257</v>
      </c>
      <c r="E95" s="1" t="s">
        <v>20</v>
      </c>
      <c r="F95" s="1">
        <v>4.4000000000000004</v>
      </c>
      <c r="G95" s="1">
        <v>2</v>
      </c>
      <c r="H95" s="1">
        <v>2.4</v>
      </c>
      <c r="I95" s="1">
        <v>6.89</v>
      </c>
      <c r="J95" s="1" t="s">
        <v>5</v>
      </c>
      <c r="K95" s="1">
        <v>14500</v>
      </c>
      <c r="L95" s="1">
        <v>0</v>
      </c>
      <c r="M95" s="1" t="s">
        <v>259</v>
      </c>
      <c r="N95" s="1" t="s">
        <v>101</v>
      </c>
      <c r="O95" s="1" t="str">
        <f>LEFT(N95,4)</f>
        <v>2022</v>
      </c>
      <c r="P95" s="1" t="str">
        <f>MID(N95, LEN(N95)-4, 4)</f>
        <v>2025</v>
      </c>
      <c r="Q95" s="1" t="s">
        <v>244</v>
      </c>
      <c r="R95" s="1" t="str">
        <f>LEFT(Q95,4)</f>
        <v>2022</v>
      </c>
      <c r="S95" s="1" t="str">
        <f>MID(Q95, LEN(Q95)-4, 4)</f>
        <v>2045</v>
      </c>
      <c r="T95" s="1">
        <v>58392</v>
      </c>
      <c r="U95" s="1">
        <v>0</v>
      </c>
      <c r="V95" s="1">
        <v>25000</v>
      </c>
      <c r="W95" s="1">
        <v>0</v>
      </c>
      <c r="X95" s="1">
        <v>55482.41</v>
      </c>
      <c r="Y95" s="1" t="s">
        <v>109</v>
      </c>
      <c r="Z95" s="1" t="s">
        <v>153</v>
      </c>
      <c r="AA95" s="1" t="s">
        <v>153</v>
      </c>
      <c r="AB95" s="1" t="s">
        <v>203</v>
      </c>
      <c r="AC95" s="1" t="s">
        <v>255</v>
      </c>
    </row>
    <row r="96" spans="1:29" s="1" customFormat="1" x14ac:dyDescent="0.25">
      <c r="A96" s="1" t="s">
        <v>218</v>
      </c>
      <c r="B96" s="1">
        <v>112</v>
      </c>
      <c r="C96" s="1" t="s">
        <v>258</v>
      </c>
      <c r="D96" s="1" t="s">
        <v>257</v>
      </c>
      <c r="E96" s="1" t="s">
        <v>20</v>
      </c>
      <c r="F96" s="1">
        <v>2.0099999999999998</v>
      </c>
      <c r="G96" s="1">
        <v>0.5</v>
      </c>
      <c r="H96" s="1">
        <v>1.51</v>
      </c>
      <c r="I96" s="1">
        <v>4.57</v>
      </c>
      <c r="J96" s="1" t="s">
        <v>5</v>
      </c>
      <c r="K96" s="1">
        <v>6100</v>
      </c>
      <c r="L96" s="1">
        <v>0</v>
      </c>
      <c r="M96" s="1" t="s">
        <v>256</v>
      </c>
      <c r="N96" s="1" t="s">
        <v>101</v>
      </c>
      <c r="O96" s="1" t="str">
        <f>LEFT(N96,4)</f>
        <v>2022</v>
      </c>
      <c r="P96" s="1" t="str">
        <f>MID(N96, LEN(N96)-4, 4)</f>
        <v>2025</v>
      </c>
      <c r="Q96" s="1" t="s">
        <v>244</v>
      </c>
      <c r="R96" s="1" t="str">
        <f>LEFT(Q96,4)</f>
        <v>2022</v>
      </c>
      <c r="S96" s="1" t="str">
        <f>MID(Q96, LEN(Q96)-4, 4)</f>
        <v>2045</v>
      </c>
      <c r="T96" s="1">
        <v>39853</v>
      </c>
      <c r="U96" s="1">
        <v>0</v>
      </c>
      <c r="V96" s="1">
        <v>17000</v>
      </c>
      <c r="W96" s="1">
        <v>0</v>
      </c>
      <c r="X96" s="1">
        <v>37408.07</v>
      </c>
      <c r="Y96" s="1" t="s">
        <v>109</v>
      </c>
      <c r="Z96" s="1" t="s">
        <v>153</v>
      </c>
      <c r="AA96" s="1" t="s">
        <v>153</v>
      </c>
      <c r="AB96" s="1" t="s">
        <v>203</v>
      </c>
      <c r="AC96" s="1" t="s">
        <v>255</v>
      </c>
    </row>
    <row r="97" spans="1:29" s="1" customFormat="1" x14ac:dyDescent="0.25">
      <c r="A97" s="1" t="s">
        <v>217</v>
      </c>
      <c r="B97" s="1">
        <v>288.42</v>
      </c>
      <c r="C97" s="1" t="s">
        <v>254</v>
      </c>
      <c r="D97" s="1" t="s">
        <v>253</v>
      </c>
      <c r="E97" s="1" t="s">
        <v>10</v>
      </c>
      <c r="F97" s="1">
        <v>9.3000000000000007</v>
      </c>
      <c r="G97" s="1">
        <v>3.54</v>
      </c>
      <c r="H97" s="1">
        <v>5.76</v>
      </c>
      <c r="I97" s="1">
        <v>14.67</v>
      </c>
      <c r="J97" s="1" t="s">
        <v>5</v>
      </c>
      <c r="K97" s="1">
        <v>30000</v>
      </c>
      <c r="L97" s="1">
        <v>0</v>
      </c>
      <c r="M97" s="1" t="s">
        <v>252</v>
      </c>
      <c r="N97" s="1" t="s">
        <v>101</v>
      </c>
      <c r="O97" s="1" t="str">
        <f>LEFT(N97,4)</f>
        <v>2022</v>
      </c>
      <c r="P97" s="1" t="str">
        <f>MID(N97, LEN(N97)-4, 4)</f>
        <v>2025</v>
      </c>
      <c r="Q97" s="1" t="s">
        <v>244</v>
      </c>
      <c r="R97" s="1" t="str">
        <f>LEFT(Q97,4)</f>
        <v>2022</v>
      </c>
      <c r="S97" s="1" t="str">
        <f>MID(Q97, LEN(Q97)-4, 4)</f>
        <v>2045</v>
      </c>
      <c r="T97" s="1">
        <v>100000</v>
      </c>
      <c r="U97" s="1">
        <v>0</v>
      </c>
      <c r="V97" s="1">
        <v>64590</v>
      </c>
      <c r="W97" s="1">
        <v>0</v>
      </c>
      <c r="X97" s="1">
        <v>107707.03</v>
      </c>
      <c r="Y97" s="1" t="s">
        <v>109</v>
      </c>
      <c r="Z97" s="1" t="s">
        <v>153</v>
      </c>
      <c r="AA97" s="1" t="s">
        <v>153</v>
      </c>
      <c r="AB97" s="1" t="s">
        <v>203</v>
      </c>
    </row>
    <row r="98" spans="1:29" s="1" customFormat="1" x14ac:dyDescent="0.25">
      <c r="A98" s="1" t="s">
        <v>217</v>
      </c>
      <c r="B98" s="1">
        <v>288.42</v>
      </c>
      <c r="C98" s="1" t="s">
        <v>251</v>
      </c>
      <c r="D98" s="1" t="s">
        <v>250</v>
      </c>
      <c r="E98" s="1" t="s">
        <v>20</v>
      </c>
      <c r="F98" s="1">
        <v>3</v>
      </c>
      <c r="G98" s="1">
        <v>0.8</v>
      </c>
      <c r="H98" s="1">
        <v>2.2000000000000002</v>
      </c>
      <c r="I98" s="1">
        <v>15.53</v>
      </c>
      <c r="J98" s="1" t="s">
        <v>5</v>
      </c>
      <c r="K98" s="1">
        <v>2000</v>
      </c>
      <c r="L98" s="1">
        <v>0</v>
      </c>
      <c r="M98" s="1" t="s">
        <v>249</v>
      </c>
      <c r="N98" s="1" t="s">
        <v>101</v>
      </c>
      <c r="O98" s="1" t="str">
        <f>LEFT(N98,4)</f>
        <v>2022</v>
      </c>
      <c r="P98" s="1" t="str">
        <f>MID(N98, LEN(N98)-4, 4)</f>
        <v>2025</v>
      </c>
      <c r="Q98" s="1" t="s">
        <v>244</v>
      </c>
      <c r="R98" s="1" t="str">
        <f>LEFT(Q98,4)</f>
        <v>2022</v>
      </c>
      <c r="S98" s="1" t="str">
        <f>MID(Q98, LEN(Q98)-4, 4)</f>
        <v>2045</v>
      </c>
      <c r="T98" s="1">
        <v>52000</v>
      </c>
      <c r="U98" s="1">
        <v>0</v>
      </c>
      <c r="V98" s="1">
        <v>41000</v>
      </c>
      <c r="W98" s="1">
        <v>0</v>
      </c>
      <c r="X98" s="1">
        <v>111392.11</v>
      </c>
      <c r="Y98" s="1" t="s">
        <v>109</v>
      </c>
      <c r="Z98" s="1" t="s">
        <v>153</v>
      </c>
      <c r="AA98" s="1" t="s">
        <v>153</v>
      </c>
      <c r="AB98" s="1" t="s">
        <v>203</v>
      </c>
      <c r="AC98" s="1" t="s">
        <v>248</v>
      </c>
    </row>
    <row r="99" spans="1:29" s="1" customFormat="1" x14ac:dyDescent="0.25">
      <c r="A99" s="1" t="s">
        <v>218</v>
      </c>
      <c r="B99" s="1">
        <v>112</v>
      </c>
      <c r="C99" s="1" t="s">
        <v>247</v>
      </c>
      <c r="D99" s="1" t="s">
        <v>246</v>
      </c>
      <c r="E99" s="1" t="s">
        <v>10</v>
      </c>
      <c r="F99" s="1">
        <v>3.52</v>
      </c>
      <c r="G99" s="1">
        <v>1.22</v>
      </c>
      <c r="H99" s="1">
        <v>2.2999999999999998</v>
      </c>
      <c r="I99" s="1">
        <v>6.26</v>
      </c>
      <c r="J99" s="1" t="s">
        <v>5</v>
      </c>
      <c r="K99" s="1">
        <v>5000</v>
      </c>
      <c r="L99" s="1">
        <v>0</v>
      </c>
      <c r="M99" s="1" t="s">
        <v>245</v>
      </c>
      <c r="N99" s="1" t="s">
        <v>111</v>
      </c>
      <c r="O99" s="1" t="str">
        <f>LEFT(N99,4)</f>
        <v>2022</v>
      </c>
      <c r="P99" s="1" t="str">
        <f>MID(N99, LEN(N99)-4, 4)</f>
        <v>2023</v>
      </c>
      <c r="Q99" s="1" t="s">
        <v>244</v>
      </c>
      <c r="R99" s="1" t="str">
        <f>LEFT(Q99,4)</f>
        <v>2022</v>
      </c>
      <c r="S99" s="1" t="str">
        <f>MID(Q99, LEN(Q99)-4, 4)</f>
        <v>2045</v>
      </c>
      <c r="T99" s="1">
        <v>35233.58</v>
      </c>
      <c r="U99" s="1">
        <v>0</v>
      </c>
      <c r="V99" s="1">
        <v>23000</v>
      </c>
      <c r="W99" s="1">
        <v>0</v>
      </c>
      <c r="X99" s="1">
        <v>51771.43</v>
      </c>
      <c r="Y99" s="1" t="s">
        <v>109</v>
      </c>
      <c r="Z99" s="1" t="s">
        <v>153</v>
      </c>
      <c r="AA99" s="1" t="s">
        <v>153</v>
      </c>
      <c r="AB99" s="1" t="s">
        <v>243</v>
      </c>
    </row>
    <row r="100" spans="1:29" s="1" customFormat="1" x14ac:dyDescent="0.25">
      <c r="A100" s="1" t="s">
        <v>242</v>
      </c>
      <c r="B100" s="1">
        <v>161.69</v>
      </c>
      <c r="C100" s="1" t="s">
        <v>240</v>
      </c>
      <c r="D100" s="1" t="s">
        <v>239</v>
      </c>
      <c r="E100" s="1" t="s">
        <v>20</v>
      </c>
      <c r="F100" s="1">
        <v>1.83</v>
      </c>
      <c r="G100" s="1">
        <v>1.33</v>
      </c>
      <c r="H100" s="1">
        <v>0.5</v>
      </c>
      <c r="I100" s="1">
        <v>1.1200000000000001</v>
      </c>
      <c r="J100" s="1" t="s">
        <v>5</v>
      </c>
      <c r="K100" s="1">
        <v>1000</v>
      </c>
      <c r="L100" s="1">
        <v>0</v>
      </c>
      <c r="M100" s="1" t="s">
        <v>241</v>
      </c>
      <c r="N100" s="1" t="s">
        <v>101</v>
      </c>
      <c r="O100" s="1" t="str">
        <f>LEFT(N100,4)</f>
        <v>2022</v>
      </c>
      <c r="P100" s="1" t="str">
        <f>MID(N100, LEN(N100)-4, 4)</f>
        <v>2025</v>
      </c>
      <c r="Q100" s="1" t="s">
        <v>228</v>
      </c>
      <c r="R100" s="1" t="str">
        <f>LEFT(Q100,4)</f>
        <v>2022</v>
      </c>
      <c r="S100" s="1" t="str">
        <f>MID(Q100, LEN(Q100)-4, 4)</f>
        <v>2044</v>
      </c>
      <c r="T100" s="1">
        <v>22977</v>
      </c>
      <c r="U100" s="1">
        <v>0</v>
      </c>
      <c r="V100" s="1">
        <v>5000</v>
      </c>
      <c r="W100" s="1">
        <v>0</v>
      </c>
      <c r="X100" s="1">
        <v>10818.6</v>
      </c>
      <c r="Y100" s="1" t="s">
        <v>109</v>
      </c>
      <c r="Z100" s="1" t="s">
        <v>153</v>
      </c>
      <c r="AA100" s="1" t="s">
        <v>153</v>
      </c>
      <c r="AB100" s="1" t="s">
        <v>185</v>
      </c>
      <c r="AC100" s="1" t="s">
        <v>237</v>
      </c>
    </row>
    <row r="101" spans="1:29" s="1" customFormat="1" x14ac:dyDescent="0.25">
      <c r="A101" s="1" t="s">
        <v>218</v>
      </c>
      <c r="B101" s="1">
        <v>112</v>
      </c>
      <c r="C101" s="1" t="s">
        <v>240</v>
      </c>
      <c r="D101" s="1" t="s">
        <v>239</v>
      </c>
      <c r="E101" s="1" t="s">
        <v>20</v>
      </c>
      <c r="F101" s="1">
        <v>1.38</v>
      </c>
      <c r="G101" s="1">
        <v>0.88</v>
      </c>
      <c r="H101" s="1">
        <v>0.5</v>
      </c>
      <c r="I101" s="1">
        <v>1.1499999999999999</v>
      </c>
      <c r="J101" s="1" t="s">
        <v>5</v>
      </c>
      <c r="K101" s="1">
        <v>1000</v>
      </c>
      <c r="L101" s="1">
        <v>0</v>
      </c>
      <c r="M101" s="1" t="s">
        <v>238</v>
      </c>
      <c r="N101" s="1" t="s">
        <v>101</v>
      </c>
      <c r="O101" s="1" t="str">
        <f>LEFT(N101,4)</f>
        <v>2022</v>
      </c>
      <c r="P101" s="1" t="str">
        <f>MID(N101, LEN(N101)-4, 4)</f>
        <v>2025</v>
      </c>
      <c r="Q101" s="1" t="s">
        <v>228</v>
      </c>
      <c r="R101" s="1" t="str">
        <f>LEFT(Q101,4)</f>
        <v>2022</v>
      </c>
      <c r="S101" s="1" t="str">
        <f>MID(Q101, LEN(Q101)-4, 4)</f>
        <v>2044</v>
      </c>
      <c r="T101" s="1">
        <v>25823</v>
      </c>
      <c r="U101" s="1">
        <v>0</v>
      </c>
      <c r="V101" s="1">
        <v>5000</v>
      </c>
      <c r="W101" s="1">
        <v>0</v>
      </c>
      <c r="X101" s="1">
        <v>11132.86</v>
      </c>
      <c r="Y101" s="1" t="s">
        <v>109</v>
      </c>
      <c r="Z101" s="1" t="s">
        <v>153</v>
      </c>
      <c r="AA101" s="1" t="s">
        <v>153</v>
      </c>
      <c r="AB101" s="1" t="s">
        <v>185</v>
      </c>
      <c r="AC101" s="1" t="s">
        <v>237</v>
      </c>
    </row>
    <row r="102" spans="1:29" s="1" customFormat="1" x14ac:dyDescent="0.25">
      <c r="A102" s="1" t="s">
        <v>217</v>
      </c>
      <c r="B102" s="1">
        <v>288.42</v>
      </c>
      <c r="C102" s="1" t="s">
        <v>236</v>
      </c>
      <c r="D102" s="1" t="s">
        <v>235</v>
      </c>
      <c r="E102" s="1" t="s">
        <v>234</v>
      </c>
      <c r="F102" s="1">
        <v>6.79</v>
      </c>
      <c r="G102" s="1">
        <v>3.79</v>
      </c>
      <c r="H102" s="1">
        <v>3</v>
      </c>
      <c r="I102" s="1">
        <v>9.1300000000000008</v>
      </c>
      <c r="J102" s="1" t="s">
        <v>5</v>
      </c>
      <c r="K102" s="1">
        <v>7000</v>
      </c>
      <c r="L102" s="1">
        <v>0</v>
      </c>
      <c r="M102" s="1" t="s">
        <v>233</v>
      </c>
      <c r="N102" s="1" t="s">
        <v>101</v>
      </c>
      <c r="O102" s="1" t="str">
        <f>LEFT(N102,4)</f>
        <v>2022</v>
      </c>
      <c r="P102" s="1" t="str">
        <f>MID(N102, LEN(N102)-4, 4)</f>
        <v>2025</v>
      </c>
      <c r="Q102" s="1" t="s">
        <v>228</v>
      </c>
      <c r="R102" s="1" t="str">
        <f>LEFT(Q102,4)</f>
        <v>2022</v>
      </c>
      <c r="S102" s="1" t="str">
        <f>MID(Q102, LEN(Q102)-4, 4)</f>
        <v>2044</v>
      </c>
      <c r="T102" s="1">
        <v>73586.7</v>
      </c>
      <c r="U102" s="1">
        <v>43586.7</v>
      </c>
      <c r="V102" s="1">
        <v>30000</v>
      </c>
      <c r="W102" s="1">
        <v>0</v>
      </c>
      <c r="X102" s="1">
        <v>65227.15</v>
      </c>
      <c r="Y102" s="1" t="s">
        <v>109</v>
      </c>
      <c r="Z102" s="1" t="s">
        <v>153</v>
      </c>
      <c r="AA102" s="1" t="s">
        <v>153</v>
      </c>
      <c r="AB102" s="1" t="s">
        <v>152</v>
      </c>
      <c r="AC102" s="1" t="s">
        <v>232</v>
      </c>
    </row>
    <row r="103" spans="1:29" s="1" customFormat="1" x14ac:dyDescent="0.25">
      <c r="A103" s="1" t="s">
        <v>217</v>
      </c>
      <c r="B103" s="1">
        <v>288.42</v>
      </c>
      <c r="C103" s="1" t="s">
        <v>231</v>
      </c>
      <c r="D103" s="1" t="s">
        <v>230</v>
      </c>
      <c r="E103" s="1" t="s">
        <v>20</v>
      </c>
      <c r="F103" s="1">
        <v>4.57</v>
      </c>
      <c r="G103" s="1">
        <v>2.27</v>
      </c>
      <c r="H103" s="1">
        <v>2.2999999999999998</v>
      </c>
      <c r="I103" s="1">
        <v>8.09</v>
      </c>
      <c r="J103" s="1" t="s">
        <v>5</v>
      </c>
      <c r="K103" s="1">
        <v>10000</v>
      </c>
      <c r="L103" s="1">
        <v>0</v>
      </c>
      <c r="M103" s="1" t="s">
        <v>229</v>
      </c>
      <c r="N103" s="1" t="s">
        <v>74</v>
      </c>
      <c r="O103" s="1" t="str">
        <f>LEFT(N103,4)</f>
        <v>2022</v>
      </c>
      <c r="P103" s="1" t="str">
        <f>MID(N103, LEN(N103)-4, 4)</f>
        <v>2024</v>
      </c>
      <c r="Q103" s="1" t="s">
        <v>228</v>
      </c>
      <c r="R103" s="1" t="str">
        <f>LEFT(Q103,4)</f>
        <v>2022</v>
      </c>
      <c r="S103" s="1" t="str">
        <f>MID(Q103, LEN(Q103)-4, 4)</f>
        <v>2044</v>
      </c>
      <c r="T103" s="1">
        <v>45725</v>
      </c>
      <c r="U103" s="1">
        <v>0</v>
      </c>
      <c r="V103" s="1">
        <v>23000</v>
      </c>
      <c r="W103" s="1">
        <v>0</v>
      </c>
      <c r="X103" s="1">
        <v>54201</v>
      </c>
      <c r="Y103" s="1" t="s">
        <v>109</v>
      </c>
      <c r="Z103" s="1" t="s">
        <v>153</v>
      </c>
      <c r="AA103" s="1" t="s">
        <v>153</v>
      </c>
      <c r="AB103" s="1" t="s">
        <v>227</v>
      </c>
      <c r="AC103" s="1" t="s">
        <v>226</v>
      </c>
    </row>
    <row r="104" spans="1:29" s="1" customFormat="1" x14ac:dyDescent="0.25">
      <c r="A104" s="1" t="s">
        <v>209</v>
      </c>
      <c r="B104" s="1">
        <v>146.29</v>
      </c>
      <c r="C104" s="1" t="s">
        <v>225</v>
      </c>
      <c r="D104" s="1" t="s">
        <v>158</v>
      </c>
      <c r="E104" s="1" t="s">
        <v>20</v>
      </c>
      <c r="F104" s="1">
        <v>8.06</v>
      </c>
      <c r="G104" s="1">
        <v>5.46</v>
      </c>
      <c r="H104" s="1">
        <v>2.6</v>
      </c>
      <c r="I104" s="1">
        <v>9.83</v>
      </c>
      <c r="J104" s="1" t="s">
        <v>5</v>
      </c>
      <c r="K104" s="1">
        <v>8000</v>
      </c>
      <c r="L104" s="1">
        <v>0</v>
      </c>
      <c r="M104" s="1" t="s">
        <v>224</v>
      </c>
      <c r="N104" s="1" t="s">
        <v>171</v>
      </c>
      <c r="O104" s="1" t="str">
        <f>LEFT(N104,4)</f>
        <v>2021</v>
      </c>
      <c r="P104" s="1" t="str">
        <f>MID(N104, LEN(N104)-4, 4)</f>
        <v>2023</v>
      </c>
      <c r="Q104" s="1" t="s">
        <v>223</v>
      </c>
      <c r="R104" s="1" t="str">
        <f>LEFT(Q104,4)</f>
        <v>2021</v>
      </c>
      <c r="S104" s="1" t="str">
        <f>MID(Q104, LEN(Q104)-4, 4)</f>
        <v>2044</v>
      </c>
      <c r="T104" s="1">
        <v>117639.5</v>
      </c>
      <c r="U104" s="1">
        <v>0</v>
      </c>
      <c r="V104" s="1">
        <v>43000</v>
      </c>
      <c r="W104" s="1">
        <v>0</v>
      </c>
      <c r="X104" s="1">
        <v>81332.490000000005</v>
      </c>
      <c r="Y104" s="1" t="s">
        <v>109</v>
      </c>
      <c r="Z104" s="1" t="s">
        <v>153</v>
      </c>
      <c r="AA104" s="1" t="s">
        <v>153</v>
      </c>
      <c r="AB104" s="1" t="s">
        <v>152</v>
      </c>
      <c r="AC104" s="1" t="s">
        <v>151</v>
      </c>
    </row>
    <row r="105" spans="1:29" s="1" customFormat="1" x14ac:dyDescent="0.25">
      <c r="A105" s="1" t="s">
        <v>217</v>
      </c>
      <c r="B105" s="1">
        <v>288.42</v>
      </c>
      <c r="C105" s="1" t="s">
        <v>222</v>
      </c>
      <c r="D105" s="1" t="s">
        <v>221</v>
      </c>
      <c r="E105" s="1" t="s">
        <v>69</v>
      </c>
      <c r="F105" s="1">
        <v>6.7</v>
      </c>
      <c r="G105" s="1">
        <v>1.2</v>
      </c>
      <c r="H105" s="1">
        <v>5.5</v>
      </c>
      <c r="I105" s="1">
        <v>15.27</v>
      </c>
      <c r="J105" s="1" t="s">
        <v>5</v>
      </c>
      <c r="K105" s="1">
        <v>10000</v>
      </c>
      <c r="L105" s="1">
        <v>0</v>
      </c>
      <c r="M105" s="1" t="s">
        <v>220</v>
      </c>
      <c r="N105" s="1" t="s">
        <v>63</v>
      </c>
      <c r="O105" s="1" t="str">
        <f>LEFT(N105,4)</f>
        <v>2022</v>
      </c>
      <c r="P105" s="1" t="str">
        <f>MID(N105, LEN(N105)-4, 4)</f>
        <v>2026</v>
      </c>
      <c r="Q105" s="1" t="s">
        <v>213</v>
      </c>
      <c r="R105" s="1" t="str">
        <f>LEFT(Q105,4)</f>
        <v>2022</v>
      </c>
      <c r="S105" s="1" t="str">
        <f>MID(Q105, LEN(Q105)-4, 4)</f>
        <v>2043</v>
      </c>
      <c r="T105" s="1">
        <v>69053</v>
      </c>
      <c r="U105" s="1">
        <v>14053</v>
      </c>
      <c r="V105" s="1">
        <v>55000</v>
      </c>
      <c r="W105" s="1">
        <v>0</v>
      </c>
      <c r="X105" s="1">
        <v>132702</v>
      </c>
      <c r="Y105" s="1" t="s">
        <v>109</v>
      </c>
      <c r="Z105" s="1" t="s">
        <v>153</v>
      </c>
      <c r="AA105" s="1" t="s">
        <v>153</v>
      </c>
      <c r="AB105" s="1" t="s">
        <v>176</v>
      </c>
      <c r="AC105" s="1" t="s">
        <v>219</v>
      </c>
    </row>
    <row r="106" spans="1:29" s="1" customFormat="1" x14ac:dyDescent="0.25">
      <c r="A106" s="1" t="s">
        <v>218</v>
      </c>
      <c r="B106" s="1">
        <v>112</v>
      </c>
      <c r="C106" s="1" t="s">
        <v>216</v>
      </c>
      <c r="D106" s="1" t="s">
        <v>215</v>
      </c>
      <c r="E106" s="1" t="s">
        <v>20</v>
      </c>
      <c r="F106" s="1">
        <v>3</v>
      </c>
      <c r="G106" s="1">
        <v>0.9</v>
      </c>
      <c r="H106" s="1">
        <v>0.8</v>
      </c>
      <c r="I106" s="1">
        <v>2.41</v>
      </c>
      <c r="J106" s="1" t="s">
        <v>5</v>
      </c>
      <c r="K106" s="1">
        <v>1000</v>
      </c>
      <c r="L106" s="1">
        <v>0</v>
      </c>
      <c r="M106" s="1" t="s">
        <v>214</v>
      </c>
      <c r="N106" s="1" t="s">
        <v>74</v>
      </c>
      <c r="O106" s="1" t="str">
        <f>LEFT(N106,4)</f>
        <v>2022</v>
      </c>
      <c r="P106" s="1" t="str">
        <f>MID(N106, LEN(N106)-4, 4)</f>
        <v>2024</v>
      </c>
      <c r="Q106" s="1" t="s">
        <v>213</v>
      </c>
      <c r="R106" s="1" t="str">
        <f>LEFT(Q106,4)</f>
        <v>2022</v>
      </c>
      <c r="S106" s="1" t="str">
        <f>MID(Q106, LEN(Q106)-4, 4)</f>
        <v>2043</v>
      </c>
      <c r="T106" s="1">
        <v>29967.360000000001</v>
      </c>
      <c r="U106" s="1">
        <v>0</v>
      </c>
      <c r="V106" s="1">
        <v>8000</v>
      </c>
      <c r="W106" s="1">
        <v>0</v>
      </c>
      <c r="X106" s="1">
        <v>20503.689999999999</v>
      </c>
      <c r="Y106" s="1" t="s">
        <v>109</v>
      </c>
      <c r="Z106" s="1" t="s">
        <v>153</v>
      </c>
      <c r="AA106" s="1" t="s">
        <v>153</v>
      </c>
      <c r="AB106" s="1" t="s">
        <v>152</v>
      </c>
      <c r="AC106" s="1" t="s">
        <v>212</v>
      </c>
    </row>
    <row r="107" spans="1:29" s="1" customFormat="1" x14ac:dyDescent="0.25">
      <c r="A107" s="1" t="s">
        <v>217</v>
      </c>
      <c r="B107" s="1">
        <v>288.42</v>
      </c>
      <c r="C107" s="1" t="s">
        <v>216</v>
      </c>
      <c r="D107" s="1" t="s">
        <v>215</v>
      </c>
      <c r="E107" s="1" t="s">
        <v>20</v>
      </c>
      <c r="F107" s="1">
        <v>3</v>
      </c>
      <c r="G107" s="1">
        <v>0.9</v>
      </c>
      <c r="H107" s="1">
        <v>0.8</v>
      </c>
      <c r="I107" s="1">
        <v>2.41</v>
      </c>
      <c r="J107" s="1" t="s">
        <v>5</v>
      </c>
      <c r="K107" s="1">
        <v>3000</v>
      </c>
      <c r="L107" s="1">
        <v>0</v>
      </c>
      <c r="M107" s="1" t="s">
        <v>214</v>
      </c>
      <c r="N107" s="1" t="s">
        <v>74</v>
      </c>
      <c r="O107" s="1" t="str">
        <f>LEFT(N107,4)</f>
        <v>2022</v>
      </c>
      <c r="P107" s="1" t="str">
        <f>MID(N107, LEN(N107)-4, 4)</f>
        <v>2024</v>
      </c>
      <c r="Q107" s="1" t="s">
        <v>213</v>
      </c>
      <c r="R107" s="1" t="str">
        <f>LEFT(Q107,4)</f>
        <v>2022</v>
      </c>
      <c r="S107" s="1" t="str">
        <f>MID(Q107, LEN(Q107)-4, 4)</f>
        <v>2043</v>
      </c>
      <c r="T107" s="1">
        <v>29967.360000000001</v>
      </c>
      <c r="U107" s="1">
        <v>0</v>
      </c>
      <c r="V107" s="1">
        <v>8000</v>
      </c>
      <c r="W107" s="1">
        <v>0</v>
      </c>
      <c r="X107" s="1">
        <v>20503.689999999999</v>
      </c>
      <c r="Y107" s="1" t="s">
        <v>109</v>
      </c>
      <c r="Z107" s="1" t="s">
        <v>153</v>
      </c>
      <c r="AA107" s="1" t="s">
        <v>153</v>
      </c>
      <c r="AB107" s="1" t="s">
        <v>152</v>
      </c>
      <c r="AC107" s="1" t="s">
        <v>212</v>
      </c>
    </row>
    <row r="108" spans="1:29" s="1" customFormat="1" x14ac:dyDescent="0.25">
      <c r="A108" s="1" t="s">
        <v>209</v>
      </c>
      <c r="B108" s="1">
        <v>146.29</v>
      </c>
      <c r="C108" s="1" t="s">
        <v>183</v>
      </c>
      <c r="D108" s="1" t="s">
        <v>158</v>
      </c>
      <c r="E108" s="1" t="s">
        <v>20</v>
      </c>
      <c r="F108" s="1">
        <v>3.35</v>
      </c>
      <c r="G108" s="1">
        <v>2.4</v>
      </c>
      <c r="H108" s="1">
        <v>0.95</v>
      </c>
      <c r="I108" s="1">
        <v>3.19</v>
      </c>
      <c r="J108" s="1" t="s">
        <v>5</v>
      </c>
      <c r="K108" s="1">
        <v>9000</v>
      </c>
      <c r="L108" s="1">
        <v>0</v>
      </c>
      <c r="M108" s="1" t="s">
        <v>211</v>
      </c>
      <c r="N108" s="1" t="s">
        <v>163</v>
      </c>
      <c r="O108" s="1" t="str">
        <f>LEFT(N108,4)</f>
        <v>2020</v>
      </c>
      <c r="P108" s="1" t="str">
        <f>MID(N108, LEN(N108)-4, 4)</f>
        <v>2023</v>
      </c>
      <c r="Q108" s="1" t="s">
        <v>181</v>
      </c>
      <c r="R108" s="1" t="str">
        <f>LEFT(Q108,4)</f>
        <v>2020</v>
      </c>
      <c r="S108" s="1" t="str">
        <f>MID(Q108, LEN(Q108)-4, 4)</f>
        <v>2043</v>
      </c>
      <c r="T108" s="1">
        <v>39201</v>
      </c>
      <c r="U108" s="1">
        <v>0</v>
      </c>
      <c r="V108" s="1">
        <v>13000</v>
      </c>
      <c r="W108" s="1">
        <v>0</v>
      </c>
      <c r="X108" s="1">
        <v>27552.82</v>
      </c>
      <c r="Y108" s="1" t="s">
        <v>109</v>
      </c>
      <c r="Z108" s="1" t="s">
        <v>153</v>
      </c>
      <c r="AA108" s="1" t="s">
        <v>153</v>
      </c>
      <c r="AB108" s="1" t="s">
        <v>152</v>
      </c>
      <c r="AC108" s="1" t="s">
        <v>151</v>
      </c>
    </row>
    <row r="109" spans="1:29" s="1" customFormat="1" x14ac:dyDescent="0.25">
      <c r="A109" s="1" t="s">
        <v>209</v>
      </c>
      <c r="B109" s="1">
        <v>146.29</v>
      </c>
      <c r="C109" s="1" t="s">
        <v>179</v>
      </c>
      <c r="D109" s="1" t="s">
        <v>178</v>
      </c>
      <c r="E109" s="1" t="s">
        <v>69</v>
      </c>
      <c r="F109" s="1">
        <v>1.5</v>
      </c>
      <c r="G109" s="1">
        <v>0.6</v>
      </c>
      <c r="H109" s="1">
        <v>0.9</v>
      </c>
      <c r="I109" s="1">
        <v>4.25</v>
      </c>
      <c r="J109" s="1" t="s">
        <v>5</v>
      </c>
      <c r="K109" s="1">
        <v>9000</v>
      </c>
      <c r="L109" s="1">
        <v>0</v>
      </c>
      <c r="M109" s="1" t="s">
        <v>210</v>
      </c>
      <c r="N109" s="1" t="s">
        <v>119</v>
      </c>
      <c r="O109" s="1" t="str">
        <f>LEFT(N109,4)</f>
        <v>2021</v>
      </c>
      <c r="P109" s="1" t="str">
        <f>MID(N109, LEN(N109)-4, 4)</f>
        <v>2024</v>
      </c>
      <c r="Q109" s="1" t="s">
        <v>170</v>
      </c>
      <c r="R109" s="1" t="str">
        <f>LEFT(Q109,4)</f>
        <v>2021</v>
      </c>
      <c r="S109" s="1" t="str">
        <f>MID(Q109, LEN(Q109)-4, 4)</f>
        <v>2042</v>
      </c>
      <c r="T109" s="1">
        <v>24000</v>
      </c>
      <c r="U109" s="1">
        <v>0</v>
      </c>
      <c r="V109" s="1">
        <v>15000</v>
      </c>
      <c r="W109" s="1">
        <v>0</v>
      </c>
      <c r="X109" s="1">
        <v>28949</v>
      </c>
      <c r="Y109" s="1" t="s">
        <v>109</v>
      </c>
      <c r="Z109" s="1" t="s">
        <v>153</v>
      </c>
      <c r="AA109" s="1" t="s">
        <v>153</v>
      </c>
      <c r="AB109" s="1" t="s">
        <v>176</v>
      </c>
      <c r="AC109" s="1" t="s">
        <v>175</v>
      </c>
    </row>
    <row r="110" spans="1:29" s="1" customFormat="1" x14ac:dyDescent="0.25">
      <c r="A110" s="1" t="s">
        <v>209</v>
      </c>
      <c r="B110" s="1">
        <v>146.29</v>
      </c>
      <c r="C110" s="1" t="s">
        <v>173</v>
      </c>
      <c r="D110" s="1" t="s">
        <v>158</v>
      </c>
      <c r="E110" s="1" t="s">
        <v>20</v>
      </c>
      <c r="F110" s="1">
        <v>3.05</v>
      </c>
      <c r="G110" s="1">
        <v>2.5</v>
      </c>
      <c r="H110" s="1">
        <v>0.55000000000000004</v>
      </c>
      <c r="I110" s="1">
        <v>2.83</v>
      </c>
      <c r="J110" s="1" t="s">
        <v>5</v>
      </c>
      <c r="K110" s="1">
        <v>6000</v>
      </c>
      <c r="L110" s="1">
        <v>0</v>
      </c>
      <c r="M110" s="1" t="s">
        <v>208</v>
      </c>
      <c r="N110" s="1" t="s">
        <v>171</v>
      </c>
      <c r="O110" s="1" t="str">
        <f>LEFT(N110,4)</f>
        <v>2021</v>
      </c>
      <c r="P110" s="1" t="str">
        <f>MID(N110, LEN(N110)-4, 4)</f>
        <v>2023</v>
      </c>
      <c r="Q110" s="1" t="s">
        <v>170</v>
      </c>
      <c r="R110" s="1" t="str">
        <f>LEFT(Q110,4)</f>
        <v>2021</v>
      </c>
      <c r="S110" s="1" t="str">
        <f>MID(Q110, LEN(Q110)-4, 4)</f>
        <v>2042</v>
      </c>
      <c r="T110" s="1">
        <v>47960.29</v>
      </c>
      <c r="U110" s="1">
        <v>0</v>
      </c>
      <c r="V110" s="1">
        <v>14500</v>
      </c>
      <c r="W110" s="1">
        <v>0</v>
      </c>
      <c r="X110" s="1">
        <v>23823.09</v>
      </c>
      <c r="Y110" s="1" t="s">
        <v>109</v>
      </c>
      <c r="Z110" s="1" t="s">
        <v>153</v>
      </c>
      <c r="AA110" s="1" t="s">
        <v>153</v>
      </c>
      <c r="AB110" s="1" t="s">
        <v>152</v>
      </c>
      <c r="AC110" s="1" t="s">
        <v>151</v>
      </c>
    </row>
    <row r="111" spans="1:29" s="1" customFormat="1" x14ac:dyDescent="0.25">
      <c r="A111" s="1" t="s">
        <v>207</v>
      </c>
      <c r="B111" s="1">
        <v>132.26</v>
      </c>
      <c r="C111" s="1" t="s">
        <v>206</v>
      </c>
      <c r="D111" s="1" t="s">
        <v>205</v>
      </c>
      <c r="E111" s="1" t="s">
        <v>10</v>
      </c>
      <c r="F111" s="1">
        <v>20.63</v>
      </c>
      <c r="G111" s="1">
        <v>7.63</v>
      </c>
      <c r="H111" s="1">
        <v>13</v>
      </c>
      <c r="I111" s="1">
        <v>33.67</v>
      </c>
      <c r="J111" s="1" t="s">
        <v>5</v>
      </c>
      <c r="K111" s="1">
        <v>60000</v>
      </c>
      <c r="L111" s="1">
        <v>0</v>
      </c>
      <c r="M111" s="1" t="s">
        <v>204</v>
      </c>
      <c r="N111" s="1" t="s">
        <v>101</v>
      </c>
      <c r="O111" s="1" t="str">
        <f>LEFT(N111,4)</f>
        <v>2022</v>
      </c>
      <c r="P111" s="1" t="str">
        <f>MID(N111, LEN(N111)-4, 4)</f>
        <v>2025</v>
      </c>
      <c r="Q111" s="1" t="s">
        <v>100</v>
      </c>
      <c r="R111" s="1" t="str">
        <f>LEFT(Q111,4)</f>
        <v>2022</v>
      </c>
      <c r="S111" s="1" t="str">
        <f>MID(Q111, LEN(Q111)-4, 4)</f>
        <v>2040</v>
      </c>
      <c r="T111" s="1">
        <v>249097.03</v>
      </c>
      <c r="U111" s="1">
        <v>92097.03</v>
      </c>
      <c r="V111" s="1">
        <v>157000</v>
      </c>
      <c r="W111" s="1">
        <v>0</v>
      </c>
      <c r="X111" s="1">
        <v>237497.5</v>
      </c>
      <c r="Y111" s="1" t="s">
        <v>109</v>
      </c>
      <c r="Z111" s="1" t="s">
        <v>153</v>
      </c>
      <c r="AA111" s="1" t="s">
        <v>153</v>
      </c>
      <c r="AB111" s="1" t="s">
        <v>203</v>
      </c>
      <c r="AC111" s="1" t="s">
        <v>202</v>
      </c>
    </row>
    <row r="112" spans="1:29" s="1" customFormat="1" x14ac:dyDescent="0.25">
      <c r="A112" s="1" t="s">
        <v>201</v>
      </c>
      <c r="B112" s="1">
        <v>74.349999999999994</v>
      </c>
      <c r="C112" s="1" t="s">
        <v>200</v>
      </c>
      <c r="D112" s="1" t="s">
        <v>199</v>
      </c>
      <c r="E112" s="1" t="s">
        <v>69</v>
      </c>
      <c r="F112" s="1">
        <v>1.1599999999999999</v>
      </c>
      <c r="G112" s="1">
        <v>0.26</v>
      </c>
      <c r="H112" s="1">
        <v>0.9</v>
      </c>
      <c r="I112" s="1">
        <v>2.3199999999999998</v>
      </c>
      <c r="J112" s="1" t="s">
        <v>5</v>
      </c>
      <c r="K112" s="1">
        <v>9000</v>
      </c>
      <c r="L112" s="1">
        <v>0</v>
      </c>
      <c r="M112" s="1" t="s">
        <v>198</v>
      </c>
      <c r="N112" s="1" t="s">
        <v>197</v>
      </c>
      <c r="O112" s="1" t="str">
        <f>LEFT(N112,4)</f>
        <v>2022</v>
      </c>
      <c r="P112" s="1" t="str">
        <f>MID(N112, LEN(N112)-4, 4)</f>
        <v>2022</v>
      </c>
      <c r="Q112" s="1" t="s">
        <v>73</v>
      </c>
      <c r="R112" s="1" t="str">
        <f>LEFT(Q112,4)</f>
        <v>2022</v>
      </c>
      <c r="S112" s="1" t="str">
        <f>MID(Q112, LEN(Q112)-4, 4)</f>
        <v>2037</v>
      </c>
      <c r="T112" s="1">
        <v>11645.5</v>
      </c>
      <c r="U112" s="1">
        <v>2645.5</v>
      </c>
      <c r="V112" s="1">
        <v>9000</v>
      </c>
      <c r="W112" s="1">
        <v>0</v>
      </c>
      <c r="X112" s="1">
        <v>17798.810000000001</v>
      </c>
      <c r="Y112" s="1" t="s">
        <v>109</v>
      </c>
      <c r="Z112" s="1" t="s">
        <v>153</v>
      </c>
      <c r="AA112" s="1" t="s">
        <v>153</v>
      </c>
      <c r="AB112" s="1" t="s">
        <v>196</v>
      </c>
      <c r="AC112" s="1" t="s">
        <v>195</v>
      </c>
    </row>
    <row r="113" spans="1:29" s="1" customFormat="1" x14ac:dyDescent="0.25">
      <c r="A113" s="1" t="s">
        <v>166</v>
      </c>
      <c r="B113" s="1">
        <v>82.8</v>
      </c>
      <c r="C113" s="1" t="s">
        <v>194</v>
      </c>
      <c r="D113" s="1" t="s">
        <v>158</v>
      </c>
      <c r="E113" s="1" t="s">
        <v>20</v>
      </c>
      <c r="F113" s="1">
        <v>8.5</v>
      </c>
      <c r="G113" s="1">
        <v>4.8</v>
      </c>
      <c r="H113" s="1">
        <v>3.7</v>
      </c>
      <c r="I113" s="1">
        <v>8.98</v>
      </c>
      <c r="J113" s="1" t="s">
        <v>5</v>
      </c>
      <c r="K113" s="1">
        <v>3500</v>
      </c>
      <c r="L113" s="1">
        <v>0</v>
      </c>
      <c r="M113" s="1" t="s">
        <v>193</v>
      </c>
      <c r="N113" s="1" t="s">
        <v>163</v>
      </c>
      <c r="O113" s="1" t="str">
        <f>LEFT(N113,4)</f>
        <v>2020</v>
      </c>
      <c r="P113" s="1" t="str">
        <f>MID(N113, LEN(N113)-4, 4)</f>
        <v>2023</v>
      </c>
      <c r="Q113" s="1" t="s">
        <v>181</v>
      </c>
      <c r="R113" s="1" t="str">
        <f>LEFT(Q113,4)</f>
        <v>2020</v>
      </c>
      <c r="S113" s="1" t="str">
        <f>MID(Q113, LEN(Q113)-4, 4)</f>
        <v>2043</v>
      </c>
      <c r="T113" s="1">
        <v>90000</v>
      </c>
      <c r="U113" s="1">
        <v>0</v>
      </c>
      <c r="V113" s="1">
        <v>37000</v>
      </c>
      <c r="W113" s="1">
        <v>0</v>
      </c>
      <c r="X113" s="1">
        <v>81733.42</v>
      </c>
      <c r="Y113" s="1" t="s">
        <v>154</v>
      </c>
      <c r="Z113" s="1" t="s">
        <v>153</v>
      </c>
      <c r="AA113" s="1" t="s">
        <v>153</v>
      </c>
      <c r="AB113" s="1" t="s">
        <v>152</v>
      </c>
      <c r="AC113" s="1" t="s">
        <v>151</v>
      </c>
    </row>
    <row r="114" spans="1:29" s="1" customFormat="1" x14ac:dyDescent="0.25">
      <c r="A114" s="1" t="s">
        <v>180</v>
      </c>
      <c r="B114" s="1">
        <v>137.9</v>
      </c>
      <c r="C114" s="1" t="s">
        <v>173</v>
      </c>
      <c r="D114" s="1" t="s">
        <v>158</v>
      </c>
      <c r="E114" s="1" t="s">
        <v>20</v>
      </c>
      <c r="F114" s="1">
        <v>4.5999999999999996</v>
      </c>
      <c r="G114" s="1">
        <v>3.3</v>
      </c>
      <c r="H114" s="1">
        <v>1.3</v>
      </c>
      <c r="I114" s="1">
        <v>3.24</v>
      </c>
      <c r="J114" s="1" t="s">
        <v>5</v>
      </c>
      <c r="K114" s="1">
        <v>3000</v>
      </c>
      <c r="L114" s="1">
        <v>0</v>
      </c>
      <c r="M114" s="1" t="s">
        <v>172</v>
      </c>
      <c r="N114" s="1" t="s">
        <v>171</v>
      </c>
      <c r="O114" s="1" t="str">
        <f>LEFT(N114,4)</f>
        <v>2021</v>
      </c>
      <c r="P114" s="1" t="str">
        <f>MID(N114, LEN(N114)-4, 4)</f>
        <v>2023</v>
      </c>
      <c r="Q114" s="1" t="s">
        <v>181</v>
      </c>
      <c r="R114" s="1" t="str">
        <f>LEFT(Q114,4)</f>
        <v>2020</v>
      </c>
      <c r="S114" s="1" t="str">
        <f>MID(Q114, LEN(Q114)-4, 4)</f>
        <v>2043</v>
      </c>
      <c r="T114" s="1">
        <v>45960.3</v>
      </c>
      <c r="U114" s="1">
        <v>0</v>
      </c>
      <c r="V114" s="1">
        <v>13000</v>
      </c>
      <c r="W114" s="1">
        <v>0</v>
      </c>
      <c r="X114" s="1">
        <v>29073.85</v>
      </c>
      <c r="Y114" s="1" t="s">
        <v>154</v>
      </c>
      <c r="Z114" s="1" t="s">
        <v>153</v>
      </c>
      <c r="AA114" s="1" t="s">
        <v>153</v>
      </c>
      <c r="AB114" s="1" t="s">
        <v>152</v>
      </c>
      <c r="AC114" s="1" t="s">
        <v>151</v>
      </c>
    </row>
    <row r="115" spans="1:29" s="1" customFormat="1" x14ac:dyDescent="0.25">
      <c r="A115" s="1" t="s">
        <v>166</v>
      </c>
      <c r="B115" s="1">
        <v>82.8</v>
      </c>
      <c r="C115" s="1" t="s">
        <v>173</v>
      </c>
      <c r="D115" s="1" t="s">
        <v>158</v>
      </c>
      <c r="E115" s="1" t="s">
        <v>20</v>
      </c>
      <c r="F115" s="1">
        <v>4.5999999999999996</v>
      </c>
      <c r="G115" s="1">
        <v>3.3</v>
      </c>
      <c r="H115" s="1">
        <v>1.3</v>
      </c>
      <c r="I115" s="1">
        <v>3.24</v>
      </c>
      <c r="J115" s="1" t="s">
        <v>5</v>
      </c>
      <c r="K115" s="1">
        <v>3500</v>
      </c>
      <c r="L115" s="1">
        <v>0</v>
      </c>
      <c r="M115" s="1" t="s">
        <v>172</v>
      </c>
      <c r="N115" s="1" t="s">
        <v>171</v>
      </c>
      <c r="O115" s="1" t="str">
        <f>LEFT(N115,4)</f>
        <v>2021</v>
      </c>
      <c r="P115" s="1" t="str">
        <f>MID(N115, LEN(N115)-4, 4)</f>
        <v>2023</v>
      </c>
      <c r="Q115" s="1" t="s">
        <v>181</v>
      </c>
      <c r="R115" s="1" t="str">
        <f>LEFT(Q115,4)</f>
        <v>2020</v>
      </c>
      <c r="S115" s="1" t="str">
        <f>MID(Q115, LEN(Q115)-4, 4)</f>
        <v>2043</v>
      </c>
      <c r="T115" s="1">
        <v>45960.3</v>
      </c>
      <c r="U115" s="1">
        <v>0</v>
      </c>
      <c r="V115" s="1">
        <v>13000</v>
      </c>
      <c r="W115" s="1">
        <v>0</v>
      </c>
      <c r="X115" s="1">
        <v>29073.85</v>
      </c>
      <c r="Y115" s="1" t="s">
        <v>154</v>
      </c>
      <c r="Z115" s="1" t="s">
        <v>153</v>
      </c>
      <c r="AA115" s="1" t="s">
        <v>153</v>
      </c>
      <c r="AB115" s="1" t="s">
        <v>152</v>
      </c>
      <c r="AC115" s="1" t="s">
        <v>151</v>
      </c>
    </row>
    <row r="116" spans="1:29" s="1" customFormat="1" x14ac:dyDescent="0.25">
      <c r="A116" s="1" t="s">
        <v>180</v>
      </c>
      <c r="B116" s="1">
        <v>137.9</v>
      </c>
      <c r="C116" s="1" t="s">
        <v>192</v>
      </c>
      <c r="D116" s="1" t="s">
        <v>158</v>
      </c>
      <c r="E116" s="1" t="s">
        <v>20</v>
      </c>
      <c r="F116" s="1">
        <v>11.56</v>
      </c>
      <c r="G116" s="1">
        <v>7.46</v>
      </c>
      <c r="H116" s="1">
        <v>4.0999999999999996</v>
      </c>
      <c r="I116" s="1">
        <v>9.83</v>
      </c>
      <c r="J116" s="1" t="s">
        <v>5</v>
      </c>
      <c r="K116" s="1">
        <v>5000</v>
      </c>
      <c r="L116" s="1">
        <v>0</v>
      </c>
      <c r="M116" s="1" t="s">
        <v>191</v>
      </c>
      <c r="N116" s="1" t="s">
        <v>171</v>
      </c>
      <c r="O116" s="1" t="str">
        <f>LEFT(N116,4)</f>
        <v>2021</v>
      </c>
      <c r="P116" s="1" t="str">
        <f>MID(N116, LEN(N116)-4, 4)</f>
        <v>2023</v>
      </c>
      <c r="Q116" s="1" t="s">
        <v>181</v>
      </c>
      <c r="R116" s="1" t="str">
        <f>LEFT(Q116,4)</f>
        <v>2020</v>
      </c>
      <c r="S116" s="1" t="str">
        <f>MID(Q116, LEN(Q116)-4, 4)</f>
        <v>2043</v>
      </c>
      <c r="T116" s="1">
        <v>115639.5</v>
      </c>
      <c r="U116" s="1">
        <v>0</v>
      </c>
      <c r="V116" s="1">
        <v>41000</v>
      </c>
      <c r="W116" s="1">
        <v>0</v>
      </c>
      <c r="X116" s="1">
        <v>88694.87</v>
      </c>
      <c r="Y116" s="1" t="s">
        <v>154</v>
      </c>
      <c r="Z116" s="1" t="s">
        <v>153</v>
      </c>
      <c r="AA116" s="1" t="s">
        <v>153</v>
      </c>
      <c r="AB116" s="1" t="s">
        <v>152</v>
      </c>
      <c r="AC116" s="1" t="s">
        <v>151</v>
      </c>
    </row>
    <row r="117" spans="1:29" s="1" customFormat="1" x14ac:dyDescent="0.25">
      <c r="A117" s="1" t="s">
        <v>166</v>
      </c>
      <c r="B117" s="1">
        <v>82.8</v>
      </c>
      <c r="C117" s="1" t="s">
        <v>192</v>
      </c>
      <c r="D117" s="1" t="s">
        <v>158</v>
      </c>
      <c r="E117" s="1" t="s">
        <v>20</v>
      </c>
      <c r="F117" s="1">
        <v>11.56</v>
      </c>
      <c r="G117" s="1">
        <v>7.46</v>
      </c>
      <c r="H117" s="1">
        <v>4.0999999999999996</v>
      </c>
      <c r="I117" s="1">
        <v>9.83</v>
      </c>
      <c r="J117" s="1" t="s">
        <v>5</v>
      </c>
      <c r="K117" s="1">
        <v>8000</v>
      </c>
      <c r="L117" s="1">
        <v>0</v>
      </c>
      <c r="M117" s="1" t="s">
        <v>191</v>
      </c>
      <c r="N117" s="1" t="s">
        <v>171</v>
      </c>
      <c r="O117" s="1" t="str">
        <f>LEFT(N117,4)</f>
        <v>2021</v>
      </c>
      <c r="P117" s="1" t="str">
        <f>MID(N117, LEN(N117)-4, 4)</f>
        <v>2023</v>
      </c>
      <c r="Q117" s="1" t="s">
        <v>181</v>
      </c>
      <c r="R117" s="1" t="str">
        <f>LEFT(Q117,4)</f>
        <v>2020</v>
      </c>
      <c r="S117" s="1" t="str">
        <f>MID(Q117, LEN(Q117)-4, 4)</f>
        <v>2043</v>
      </c>
      <c r="T117" s="1">
        <v>115639.5</v>
      </c>
      <c r="U117" s="1">
        <v>0</v>
      </c>
      <c r="V117" s="1">
        <v>41000</v>
      </c>
      <c r="W117" s="1">
        <v>0</v>
      </c>
      <c r="X117" s="1">
        <v>88694.87</v>
      </c>
      <c r="Y117" s="1" t="s">
        <v>154</v>
      </c>
      <c r="Z117" s="1" t="s">
        <v>153</v>
      </c>
      <c r="AA117" s="1" t="s">
        <v>153</v>
      </c>
      <c r="AB117" s="1" t="s">
        <v>152</v>
      </c>
      <c r="AC117" s="1" t="s">
        <v>151</v>
      </c>
    </row>
    <row r="118" spans="1:29" s="1" customFormat="1" x14ac:dyDescent="0.25">
      <c r="A118" s="1" t="s">
        <v>174</v>
      </c>
      <c r="B118" s="1">
        <v>412.21</v>
      </c>
      <c r="C118" s="1" t="s">
        <v>190</v>
      </c>
      <c r="D118" s="1" t="s">
        <v>189</v>
      </c>
      <c r="E118" s="1" t="s">
        <v>188</v>
      </c>
      <c r="F118" s="1">
        <v>2.17</v>
      </c>
      <c r="G118" s="1">
        <v>1.57</v>
      </c>
      <c r="H118" s="1">
        <v>0.6</v>
      </c>
      <c r="I118" s="1">
        <v>1.25</v>
      </c>
      <c r="J118" s="1" t="s">
        <v>5</v>
      </c>
      <c r="K118" s="1">
        <v>2000</v>
      </c>
      <c r="L118" s="1">
        <v>0</v>
      </c>
      <c r="M118" s="1" t="s">
        <v>187</v>
      </c>
      <c r="N118" s="1" t="s">
        <v>171</v>
      </c>
      <c r="O118" s="1" t="str">
        <f>LEFT(N118,4)</f>
        <v>2021</v>
      </c>
      <c r="P118" s="1" t="str">
        <f>MID(N118, LEN(N118)-4, 4)</f>
        <v>2023</v>
      </c>
      <c r="Q118" s="1" t="s">
        <v>186</v>
      </c>
      <c r="R118" s="1" t="str">
        <f>LEFT(Q118,4)</f>
        <v>2021</v>
      </c>
      <c r="S118" s="1" t="str">
        <f>MID(Q118, LEN(Q118)-4, 4)</f>
        <v>2043</v>
      </c>
      <c r="T118" s="1">
        <v>21746.3</v>
      </c>
      <c r="U118" s="1">
        <v>15747</v>
      </c>
      <c r="V118" s="1">
        <v>6000</v>
      </c>
      <c r="W118" s="1">
        <v>0</v>
      </c>
      <c r="X118" s="1">
        <v>8648.4</v>
      </c>
      <c r="Y118" s="1" t="s">
        <v>154</v>
      </c>
      <c r="Z118" s="1" t="s">
        <v>153</v>
      </c>
      <c r="AA118" s="1" t="s">
        <v>153</v>
      </c>
      <c r="AB118" s="1" t="s">
        <v>185</v>
      </c>
      <c r="AC118" s="1" t="s">
        <v>184</v>
      </c>
    </row>
    <row r="119" spans="1:29" s="1" customFormat="1" x14ac:dyDescent="0.25">
      <c r="A119" s="1" t="s">
        <v>180</v>
      </c>
      <c r="B119" s="1">
        <v>137.9</v>
      </c>
      <c r="C119" s="1" t="s">
        <v>190</v>
      </c>
      <c r="D119" s="1" t="s">
        <v>189</v>
      </c>
      <c r="E119" s="1" t="s">
        <v>188</v>
      </c>
      <c r="F119" s="1">
        <v>2.17</v>
      </c>
      <c r="G119" s="1">
        <v>1.57</v>
      </c>
      <c r="H119" s="1">
        <v>0.6</v>
      </c>
      <c r="I119" s="1">
        <v>1.25</v>
      </c>
      <c r="J119" s="1" t="s">
        <v>5</v>
      </c>
      <c r="K119" s="1">
        <v>1000</v>
      </c>
      <c r="L119" s="1">
        <v>0</v>
      </c>
      <c r="M119" s="1" t="s">
        <v>187</v>
      </c>
      <c r="N119" s="1" t="s">
        <v>171</v>
      </c>
      <c r="O119" s="1" t="str">
        <f>LEFT(N119,4)</f>
        <v>2021</v>
      </c>
      <c r="P119" s="1" t="str">
        <f>MID(N119, LEN(N119)-4, 4)</f>
        <v>2023</v>
      </c>
      <c r="Q119" s="1" t="s">
        <v>186</v>
      </c>
      <c r="R119" s="1" t="str">
        <f>LEFT(Q119,4)</f>
        <v>2021</v>
      </c>
      <c r="S119" s="1" t="str">
        <f>MID(Q119, LEN(Q119)-4, 4)</f>
        <v>2043</v>
      </c>
      <c r="T119" s="1">
        <v>21747</v>
      </c>
      <c r="U119" s="1">
        <v>15747</v>
      </c>
      <c r="V119" s="1">
        <v>6000</v>
      </c>
      <c r="W119" s="1">
        <v>0</v>
      </c>
      <c r="X119" s="1">
        <v>12040.4</v>
      </c>
      <c r="Y119" s="1" t="s">
        <v>154</v>
      </c>
      <c r="Z119" s="1" t="s">
        <v>153</v>
      </c>
      <c r="AA119" s="1" t="s">
        <v>153</v>
      </c>
      <c r="AB119" s="1" t="s">
        <v>185</v>
      </c>
      <c r="AC119" s="1" t="s">
        <v>184</v>
      </c>
    </row>
    <row r="120" spans="1:29" s="1" customFormat="1" x14ac:dyDescent="0.25">
      <c r="A120" s="1" t="s">
        <v>166</v>
      </c>
      <c r="B120" s="1">
        <v>82.8</v>
      </c>
      <c r="C120" s="1" t="s">
        <v>183</v>
      </c>
      <c r="D120" s="1" t="s">
        <v>158</v>
      </c>
      <c r="E120" s="1" t="s">
        <v>20</v>
      </c>
      <c r="F120" s="1">
        <v>3.92</v>
      </c>
      <c r="G120" s="1">
        <v>2.62</v>
      </c>
      <c r="H120" s="1">
        <v>1.3</v>
      </c>
      <c r="I120" s="1">
        <v>3.19</v>
      </c>
      <c r="J120" s="1" t="s">
        <v>5</v>
      </c>
      <c r="K120" s="1">
        <v>3500</v>
      </c>
      <c r="L120" s="1">
        <v>0</v>
      </c>
      <c r="M120" s="1" t="s">
        <v>182</v>
      </c>
      <c r="N120" s="1" t="s">
        <v>163</v>
      </c>
      <c r="O120" s="1" t="str">
        <f>LEFT(N120,4)</f>
        <v>2020</v>
      </c>
      <c r="P120" s="1" t="str">
        <f>MID(N120, LEN(N120)-4, 4)</f>
        <v>2023</v>
      </c>
      <c r="Q120" s="1" t="s">
        <v>181</v>
      </c>
      <c r="R120" s="1" t="str">
        <f>LEFT(Q120,4)</f>
        <v>2020</v>
      </c>
      <c r="S120" s="1" t="str">
        <f>MID(Q120, LEN(Q120)-4, 4)</f>
        <v>2043</v>
      </c>
      <c r="T120" s="1">
        <v>39201</v>
      </c>
      <c r="U120" s="1">
        <v>0</v>
      </c>
      <c r="V120" s="1">
        <v>13000</v>
      </c>
      <c r="W120" s="1">
        <v>0</v>
      </c>
      <c r="X120" s="1">
        <v>28600.14</v>
      </c>
      <c r="Y120" s="1" t="s">
        <v>154</v>
      </c>
      <c r="Z120" s="1" t="s">
        <v>153</v>
      </c>
      <c r="AA120" s="1" t="s">
        <v>153</v>
      </c>
      <c r="AB120" s="1" t="s">
        <v>152</v>
      </c>
      <c r="AC120" s="1" t="s">
        <v>151</v>
      </c>
    </row>
    <row r="121" spans="1:29" s="1" customFormat="1" x14ac:dyDescent="0.25">
      <c r="A121" s="1" t="s">
        <v>180</v>
      </c>
      <c r="B121" s="1">
        <v>137.9</v>
      </c>
      <c r="C121" s="1" t="s">
        <v>179</v>
      </c>
      <c r="D121" s="1" t="s">
        <v>178</v>
      </c>
      <c r="E121" s="1" t="s">
        <v>69</v>
      </c>
      <c r="F121" s="1">
        <v>2.4</v>
      </c>
      <c r="G121" s="1">
        <v>0.9</v>
      </c>
      <c r="H121" s="1">
        <v>1.5</v>
      </c>
      <c r="I121" s="1">
        <v>4.25</v>
      </c>
      <c r="J121" s="1" t="s">
        <v>5</v>
      </c>
      <c r="K121" s="1">
        <v>5000</v>
      </c>
      <c r="L121" s="1">
        <v>0</v>
      </c>
      <c r="M121" s="1" t="s">
        <v>177</v>
      </c>
      <c r="N121" s="1" t="s">
        <v>119</v>
      </c>
      <c r="O121" s="1" t="str">
        <f>LEFT(N121,4)</f>
        <v>2021</v>
      </c>
      <c r="P121" s="1" t="str">
        <f>MID(N121, LEN(N121)-4, 4)</f>
        <v>2024</v>
      </c>
      <c r="Q121" s="1" t="s">
        <v>170</v>
      </c>
      <c r="R121" s="1" t="str">
        <f>LEFT(Q121,4)</f>
        <v>2021</v>
      </c>
      <c r="S121" s="1" t="str">
        <f>MID(Q121, LEN(Q121)-4, 4)</f>
        <v>2042</v>
      </c>
      <c r="T121" s="1">
        <v>24000</v>
      </c>
      <c r="U121" s="1">
        <v>0</v>
      </c>
      <c r="V121" s="1">
        <v>15000</v>
      </c>
      <c r="W121" s="1">
        <v>0</v>
      </c>
      <c r="X121" s="1">
        <v>32381</v>
      </c>
      <c r="Y121" s="1" t="s">
        <v>154</v>
      </c>
      <c r="Z121" s="1" t="s">
        <v>153</v>
      </c>
      <c r="AA121" s="1" t="s">
        <v>153</v>
      </c>
      <c r="AB121" s="1" t="s">
        <v>176</v>
      </c>
      <c r="AC121" s="1" t="s">
        <v>175</v>
      </c>
    </row>
    <row r="122" spans="1:29" s="1" customFormat="1" x14ac:dyDescent="0.25">
      <c r="A122" s="1" t="s">
        <v>166</v>
      </c>
      <c r="B122" s="1">
        <v>82.8</v>
      </c>
      <c r="C122" s="1" t="s">
        <v>179</v>
      </c>
      <c r="D122" s="1" t="s">
        <v>178</v>
      </c>
      <c r="E122" s="1" t="s">
        <v>69</v>
      </c>
      <c r="F122" s="1">
        <v>2.4</v>
      </c>
      <c r="G122" s="1">
        <v>0.9</v>
      </c>
      <c r="H122" s="1">
        <v>1.5</v>
      </c>
      <c r="I122" s="1">
        <v>4.25</v>
      </c>
      <c r="J122" s="1" t="s">
        <v>5</v>
      </c>
      <c r="K122" s="1">
        <v>1000</v>
      </c>
      <c r="L122" s="1">
        <v>0</v>
      </c>
      <c r="M122" s="1" t="s">
        <v>177</v>
      </c>
      <c r="N122" s="1" t="s">
        <v>119</v>
      </c>
      <c r="O122" s="1" t="str">
        <f>LEFT(N122,4)</f>
        <v>2021</v>
      </c>
      <c r="P122" s="1" t="str">
        <f>MID(N122, LEN(N122)-4, 4)</f>
        <v>2024</v>
      </c>
      <c r="Q122" s="1" t="s">
        <v>170</v>
      </c>
      <c r="R122" s="1" t="str">
        <f>LEFT(Q122,4)</f>
        <v>2021</v>
      </c>
      <c r="S122" s="1" t="str">
        <f>MID(Q122, LEN(Q122)-4, 4)</f>
        <v>2042</v>
      </c>
      <c r="T122" s="1">
        <v>24000</v>
      </c>
      <c r="U122" s="1">
        <v>0</v>
      </c>
      <c r="V122" s="1">
        <v>15000</v>
      </c>
      <c r="W122" s="1">
        <v>0</v>
      </c>
      <c r="X122" s="1">
        <v>32381</v>
      </c>
      <c r="Y122" s="1" t="s">
        <v>154</v>
      </c>
      <c r="Z122" s="1" t="s">
        <v>153</v>
      </c>
      <c r="AA122" s="1" t="s">
        <v>153</v>
      </c>
      <c r="AB122" s="1" t="s">
        <v>176</v>
      </c>
      <c r="AC122" s="1" t="s">
        <v>175</v>
      </c>
    </row>
    <row r="123" spans="1:29" s="1" customFormat="1" x14ac:dyDescent="0.25">
      <c r="A123" s="1" t="s">
        <v>174</v>
      </c>
      <c r="B123" s="1">
        <v>412.21</v>
      </c>
      <c r="C123" s="1" t="s">
        <v>173</v>
      </c>
      <c r="D123" s="1" t="s">
        <v>158</v>
      </c>
      <c r="E123" s="1" t="s">
        <v>20</v>
      </c>
      <c r="F123" s="1">
        <v>4.5999999999999996</v>
      </c>
      <c r="G123" s="1">
        <v>3.3</v>
      </c>
      <c r="H123" s="1">
        <v>1.3</v>
      </c>
      <c r="I123" s="1">
        <v>2.83</v>
      </c>
      <c r="J123" s="1" t="s">
        <v>5</v>
      </c>
      <c r="K123" s="1">
        <v>2000</v>
      </c>
      <c r="L123" s="1">
        <v>0</v>
      </c>
      <c r="M123" s="1" t="s">
        <v>172</v>
      </c>
      <c r="N123" s="1" t="s">
        <v>171</v>
      </c>
      <c r="O123" s="1" t="str">
        <f>LEFT(N123,4)</f>
        <v>2021</v>
      </c>
      <c r="P123" s="1" t="str">
        <f>MID(N123, LEN(N123)-4, 4)</f>
        <v>2023</v>
      </c>
      <c r="Q123" s="1" t="s">
        <v>170</v>
      </c>
      <c r="R123" s="1" t="str">
        <f>LEFT(Q123,4)</f>
        <v>2021</v>
      </c>
      <c r="S123" s="1" t="str">
        <f>MID(Q123, LEN(Q123)-4, 4)</f>
        <v>2042</v>
      </c>
      <c r="T123" s="1">
        <v>47960.29</v>
      </c>
      <c r="U123" s="1">
        <v>0</v>
      </c>
      <c r="V123" s="1">
        <v>13000</v>
      </c>
      <c r="W123" s="1">
        <v>0</v>
      </c>
      <c r="X123" s="1">
        <v>20177.87</v>
      </c>
      <c r="Y123" s="1" t="s">
        <v>154</v>
      </c>
      <c r="Z123" s="1" t="s">
        <v>153</v>
      </c>
      <c r="AA123" s="1" t="s">
        <v>153</v>
      </c>
      <c r="AB123" s="1" t="s">
        <v>152</v>
      </c>
      <c r="AC123" s="1" t="s">
        <v>151</v>
      </c>
    </row>
    <row r="124" spans="1:29" s="1" customFormat="1" x14ac:dyDescent="0.25">
      <c r="A124" s="1" t="s">
        <v>166</v>
      </c>
      <c r="B124" s="1">
        <v>82.8</v>
      </c>
      <c r="C124" s="1" t="s">
        <v>169</v>
      </c>
      <c r="D124" s="1" t="s">
        <v>158</v>
      </c>
      <c r="E124" s="1" t="s">
        <v>20</v>
      </c>
      <c r="F124" s="1">
        <v>1.6</v>
      </c>
      <c r="G124" s="1">
        <v>0.2</v>
      </c>
      <c r="H124" s="1">
        <v>1.4</v>
      </c>
      <c r="I124" s="1">
        <v>3.33</v>
      </c>
      <c r="J124" s="1" t="s">
        <v>5</v>
      </c>
      <c r="K124" s="1">
        <v>4500</v>
      </c>
      <c r="L124" s="1">
        <v>0</v>
      </c>
      <c r="M124" s="1" t="s">
        <v>168</v>
      </c>
      <c r="N124" s="1" t="s">
        <v>156</v>
      </c>
      <c r="O124" s="1" t="str">
        <f>LEFT(N124,4)</f>
        <v>2018</v>
      </c>
      <c r="P124" s="1" t="str">
        <f>MID(N124, LEN(N124)-4, 4)</f>
        <v>2022</v>
      </c>
      <c r="Q124" s="1" t="s">
        <v>167</v>
      </c>
      <c r="R124" s="1" t="str">
        <f>LEFT(Q124,4)</f>
        <v>2020</v>
      </c>
      <c r="S124" s="1" t="str">
        <f>MID(Q124, LEN(Q124)-4, 4)</f>
        <v>2042</v>
      </c>
      <c r="T124" s="1">
        <v>27110</v>
      </c>
      <c r="U124" s="1">
        <v>0</v>
      </c>
      <c r="V124" s="1">
        <v>14000</v>
      </c>
      <c r="W124" s="1">
        <v>0</v>
      </c>
      <c r="X124" s="1">
        <v>30202.080000000002</v>
      </c>
      <c r="Y124" s="1" t="s">
        <v>154</v>
      </c>
      <c r="Z124" s="1" t="s">
        <v>153</v>
      </c>
      <c r="AA124" s="1" t="s">
        <v>153</v>
      </c>
      <c r="AB124" s="1" t="s">
        <v>152</v>
      </c>
      <c r="AC124" s="1" t="s">
        <v>151</v>
      </c>
    </row>
    <row r="125" spans="1:29" s="1" customFormat="1" x14ac:dyDescent="0.25">
      <c r="A125" s="1" t="s">
        <v>166</v>
      </c>
      <c r="B125" s="1">
        <v>82.8</v>
      </c>
      <c r="C125" s="1" t="s">
        <v>165</v>
      </c>
      <c r="D125" s="1" t="s">
        <v>158</v>
      </c>
      <c r="E125" s="1" t="s">
        <v>20</v>
      </c>
      <c r="F125" s="1">
        <v>2.4900000000000002</v>
      </c>
      <c r="G125" s="1">
        <v>1.19</v>
      </c>
      <c r="H125" s="1">
        <v>1.3</v>
      </c>
      <c r="I125" s="1">
        <v>3.15</v>
      </c>
      <c r="J125" s="1" t="s">
        <v>5</v>
      </c>
      <c r="K125" s="1">
        <v>13000</v>
      </c>
      <c r="L125" s="1">
        <v>0</v>
      </c>
      <c r="M125" s="1" t="s">
        <v>164</v>
      </c>
      <c r="N125" s="1" t="s">
        <v>163</v>
      </c>
      <c r="O125" s="1" t="str">
        <f>LEFT(N125,4)</f>
        <v>2020</v>
      </c>
      <c r="P125" s="1" t="str">
        <f>MID(N125, LEN(N125)-4, 4)</f>
        <v>2023</v>
      </c>
      <c r="Q125" s="1" t="s">
        <v>162</v>
      </c>
      <c r="R125" s="1" t="str">
        <f>LEFT(Q125,4)</f>
        <v>2020</v>
      </c>
      <c r="S125" s="1" t="str">
        <f>MID(Q125, LEN(Q125)-4, 4)</f>
        <v>2041</v>
      </c>
      <c r="T125" s="1">
        <v>24933.3</v>
      </c>
      <c r="U125" s="1">
        <v>0</v>
      </c>
      <c r="V125" s="1">
        <v>13000</v>
      </c>
      <c r="W125" s="1">
        <v>0</v>
      </c>
      <c r="X125" s="1">
        <v>28753.360000000001</v>
      </c>
      <c r="Y125" s="1" t="s">
        <v>154</v>
      </c>
      <c r="Z125" s="1" t="s">
        <v>153</v>
      </c>
      <c r="AA125" s="1" t="s">
        <v>153</v>
      </c>
      <c r="AB125" s="1" t="s">
        <v>152</v>
      </c>
      <c r="AC125" s="1" t="s">
        <v>151</v>
      </c>
    </row>
    <row r="126" spans="1:29" s="1" customFormat="1" x14ac:dyDescent="0.25">
      <c r="A126" s="1" t="s">
        <v>161</v>
      </c>
      <c r="B126" s="1">
        <v>32.549999999999997</v>
      </c>
      <c r="C126" s="1" t="s">
        <v>159</v>
      </c>
      <c r="D126" s="1" t="s">
        <v>158</v>
      </c>
      <c r="E126" s="1" t="s">
        <v>20</v>
      </c>
      <c r="F126" s="1">
        <v>1.2</v>
      </c>
      <c r="H126" s="1">
        <v>1.2</v>
      </c>
      <c r="I126" s="1">
        <v>2.5299999999999998</v>
      </c>
      <c r="J126" s="1" t="s">
        <v>5</v>
      </c>
      <c r="K126" s="1">
        <v>3000</v>
      </c>
      <c r="L126" s="1">
        <v>0</v>
      </c>
      <c r="M126" s="1" t="s">
        <v>157</v>
      </c>
      <c r="N126" s="1" t="s">
        <v>156</v>
      </c>
      <c r="O126" s="1" t="str">
        <f>LEFT(N126,4)</f>
        <v>2018</v>
      </c>
      <c r="P126" s="1" t="str">
        <f>MID(N126, LEN(N126)-4, 4)</f>
        <v>2022</v>
      </c>
      <c r="Q126" s="1" t="s">
        <v>155</v>
      </c>
      <c r="R126" s="1" t="str">
        <f>LEFT(Q126,4)</f>
        <v>2020</v>
      </c>
      <c r="S126" s="1" t="str">
        <f>MID(Q126, LEN(Q126)-4, 4)</f>
        <v>2037</v>
      </c>
      <c r="T126" s="1">
        <v>31934</v>
      </c>
      <c r="U126" s="1">
        <v>0</v>
      </c>
      <c r="V126" s="1">
        <v>12000</v>
      </c>
      <c r="W126" s="1">
        <v>0</v>
      </c>
      <c r="X126" s="1">
        <v>22954.17</v>
      </c>
      <c r="Y126" s="1" t="s">
        <v>154</v>
      </c>
      <c r="Z126" s="1" t="s">
        <v>153</v>
      </c>
      <c r="AA126" s="1" t="s">
        <v>153</v>
      </c>
      <c r="AB126" s="1" t="s">
        <v>152</v>
      </c>
      <c r="AC126" s="1" t="s">
        <v>151</v>
      </c>
    </row>
    <row r="127" spans="1:29" s="1" customFormat="1" x14ac:dyDescent="0.25">
      <c r="A127" s="1" t="s">
        <v>160</v>
      </c>
      <c r="B127" s="1">
        <v>69.3</v>
      </c>
      <c r="C127" s="1" t="s">
        <v>159</v>
      </c>
      <c r="D127" s="1" t="s">
        <v>158</v>
      </c>
      <c r="E127" s="1" t="s">
        <v>20</v>
      </c>
      <c r="F127" s="1">
        <v>1.2</v>
      </c>
      <c r="H127" s="1">
        <v>1.2</v>
      </c>
      <c r="I127" s="1">
        <v>2.5299999999999998</v>
      </c>
      <c r="J127" s="1" t="s">
        <v>5</v>
      </c>
      <c r="K127" s="1">
        <v>2700</v>
      </c>
      <c r="L127" s="1">
        <v>0</v>
      </c>
      <c r="M127" s="1" t="s">
        <v>157</v>
      </c>
      <c r="N127" s="1" t="s">
        <v>156</v>
      </c>
      <c r="O127" s="1" t="str">
        <f>LEFT(N127,4)</f>
        <v>2018</v>
      </c>
      <c r="P127" s="1" t="str">
        <f>MID(N127, LEN(N127)-4, 4)</f>
        <v>2022</v>
      </c>
      <c r="Q127" s="1" t="s">
        <v>155</v>
      </c>
      <c r="R127" s="1" t="str">
        <f>LEFT(Q127,4)</f>
        <v>2020</v>
      </c>
      <c r="S127" s="1" t="str">
        <f>MID(Q127, LEN(Q127)-4, 4)</f>
        <v>2037</v>
      </c>
      <c r="T127" s="1">
        <v>31934</v>
      </c>
      <c r="U127" s="1">
        <v>0</v>
      </c>
      <c r="V127" s="1">
        <v>12000</v>
      </c>
      <c r="W127" s="1">
        <v>0</v>
      </c>
      <c r="X127" s="1">
        <v>22954.17</v>
      </c>
      <c r="Y127" s="1" t="s">
        <v>154</v>
      </c>
      <c r="Z127" s="1" t="s">
        <v>153</v>
      </c>
      <c r="AA127" s="1" t="s">
        <v>153</v>
      </c>
      <c r="AB127" s="1" t="s">
        <v>152</v>
      </c>
      <c r="AC127" s="1" t="s">
        <v>151</v>
      </c>
    </row>
    <row r="128" spans="1:29" s="1" customFormat="1" x14ac:dyDescent="0.25">
      <c r="A128" s="1" t="s">
        <v>144</v>
      </c>
      <c r="B128" s="1">
        <v>53.02</v>
      </c>
      <c r="C128" s="1" t="s">
        <v>150</v>
      </c>
      <c r="D128" s="1" t="s">
        <v>149</v>
      </c>
      <c r="E128" s="1" t="s">
        <v>148</v>
      </c>
      <c r="F128" s="1">
        <v>0.87</v>
      </c>
      <c r="G128" s="1">
        <v>0</v>
      </c>
      <c r="H128" s="1">
        <v>0.87</v>
      </c>
      <c r="I128" s="1">
        <v>3.04</v>
      </c>
      <c r="J128" s="1" t="s">
        <v>5</v>
      </c>
      <c r="K128" s="1">
        <v>6500</v>
      </c>
      <c r="L128" s="1">
        <v>0</v>
      </c>
      <c r="M128" s="1" t="s">
        <v>147</v>
      </c>
      <c r="N128" s="1" t="s">
        <v>87</v>
      </c>
      <c r="O128" s="1" t="str">
        <f>LEFT(N128,4)</f>
        <v>2023</v>
      </c>
      <c r="P128" s="1" t="str">
        <f>MID(N128, LEN(N128)-4, 4)</f>
        <v>2024</v>
      </c>
      <c r="Q128" s="1" t="s">
        <v>146</v>
      </c>
      <c r="R128" s="1" t="str">
        <f>LEFT(Q128,4)</f>
        <v>2025</v>
      </c>
      <c r="S128" s="1" t="str">
        <f>MID(Q128, LEN(Q128)-4, 4)</f>
        <v>2045</v>
      </c>
      <c r="T128" s="1">
        <v>18675</v>
      </c>
      <c r="U128" s="1">
        <v>0</v>
      </c>
      <c r="V128" s="1">
        <v>8675</v>
      </c>
      <c r="W128" s="1">
        <v>0</v>
      </c>
      <c r="X128" s="1">
        <v>26247.03</v>
      </c>
      <c r="Y128" s="1" t="s">
        <v>1</v>
      </c>
      <c r="Z128" s="1" t="s">
        <v>108</v>
      </c>
      <c r="AA128" s="1" t="s">
        <v>108</v>
      </c>
      <c r="AB128" s="1" t="s">
        <v>107</v>
      </c>
      <c r="AC128" s="1" t="s">
        <v>145</v>
      </c>
    </row>
    <row r="129" spans="1:29" s="1" customFormat="1" x14ac:dyDescent="0.25">
      <c r="A129" s="1" t="s">
        <v>144</v>
      </c>
      <c r="B129" s="1">
        <v>53.02</v>
      </c>
      <c r="C129" s="1" t="s">
        <v>143</v>
      </c>
      <c r="D129" s="1" t="s">
        <v>142</v>
      </c>
      <c r="E129" s="1" t="s">
        <v>141</v>
      </c>
      <c r="F129" s="1">
        <v>3.6</v>
      </c>
      <c r="G129" s="1">
        <v>2.8</v>
      </c>
      <c r="H129" s="1">
        <v>0.8</v>
      </c>
      <c r="I129" s="1">
        <v>5.15</v>
      </c>
      <c r="J129" s="1" t="s">
        <v>5</v>
      </c>
      <c r="K129" s="1">
        <v>8000</v>
      </c>
      <c r="L129" s="1">
        <v>0</v>
      </c>
      <c r="M129" s="1" t="s">
        <v>140</v>
      </c>
      <c r="N129" s="1" t="s">
        <v>101</v>
      </c>
      <c r="O129" s="1" t="str">
        <f>LEFT(N129,4)</f>
        <v>2022</v>
      </c>
      <c r="P129" s="1" t="str">
        <f>MID(N129, LEN(N129)-4, 4)</f>
        <v>2025</v>
      </c>
      <c r="Q129" s="1" t="s">
        <v>139</v>
      </c>
      <c r="R129" s="1" t="str">
        <f>LEFT(Q129,4)</f>
        <v>2025</v>
      </c>
      <c r="S129" s="1" t="str">
        <f>MID(Q129, LEN(Q129)-4, 4)</f>
        <v>2035</v>
      </c>
      <c r="T129" s="1">
        <v>44021</v>
      </c>
      <c r="U129" s="1">
        <v>0</v>
      </c>
      <c r="V129" s="1">
        <v>8000</v>
      </c>
      <c r="W129" s="1">
        <v>0</v>
      </c>
      <c r="X129" s="1">
        <v>44326.27</v>
      </c>
      <c r="Y129" s="1" t="s">
        <v>1</v>
      </c>
      <c r="Z129" s="1" t="s">
        <v>108</v>
      </c>
      <c r="AA129" s="1" t="s">
        <v>108</v>
      </c>
      <c r="AB129" s="1" t="s">
        <v>138</v>
      </c>
      <c r="AC129" s="1" t="s">
        <v>137</v>
      </c>
    </row>
    <row r="130" spans="1:29" s="1" customFormat="1" x14ac:dyDescent="0.25">
      <c r="A130" s="1" t="s">
        <v>136</v>
      </c>
      <c r="B130" s="1">
        <v>49.17</v>
      </c>
      <c r="C130" s="1" t="s">
        <v>135</v>
      </c>
      <c r="D130" s="1" t="s">
        <v>134</v>
      </c>
      <c r="E130" s="1" t="s">
        <v>133</v>
      </c>
      <c r="F130" s="1">
        <v>2.39</v>
      </c>
      <c r="G130" s="1">
        <v>1.2</v>
      </c>
      <c r="H130" s="1">
        <v>1.19</v>
      </c>
      <c r="I130" s="1">
        <v>2.78</v>
      </c>
      <c r="J130" s="1" t="s">
        <v>5</v>
      </c>
      <c r="K130" s="1">
        <v>4000</v>
      </c>
      <c r="L130" s="1">
        <v>0</v>
      </c>
      <c r="M130" s="1" t="s">
        <v>132</v>
      </c>
      <c r="N130" s="1" t="s">
        <v>53</v>
      </c>
      <c r="O130" s="1" t="str">
        <f>LEFT(N130,4)</f>
        <v>2023</v>
      </c>
      <c r="P130" s="1" t="str">
        <f>MID(N130, LEN(N130)-4, 4)</f>
        <v>2025</v>
      </c>
      <c r="Q130" s="1" t="s">
        <v>131</v>
      </c>
      <c r="R130" s="1" t="str">
        <f>LEFT(Q130,4)</f>
        <v>2024</v>
      </c>
      <c r="S130" s="1" t="str">
        <f>MID(Q130, LEN(Q130)-4, 4)</f>
        <v>2033</v>
      </c>
      <c r="T130" s="1">
        <v>23920</v>
      </c>
      <c r="U130" s="1">
        <v>0</v>
      </c>
      <c r="V130" s="1">
        <v>11940</v>
      </c>
      <c r="W130" s="1">
        <v>0</v>
      </c>
      <c r="X130" s="1">
        <v>21048</v>
      </c>
      <c r="Y130" s="1" t="s">
        <v>1</v>
      </c>
      <c r="Z130" s="1" t="s">
        <v>108</v>
      </c>
      <c r="AA130" s="1" t="s">
        <v>108</v>
      </c>
      <c r="AB130" s="1" t="s">
        <v>107</v>
      </c>
    </row>
    <row r="131" spans="1:29" s="1" customFormat="1" x14ac:dyDescent="0.25">
      <c r="A131" s="1" t="s">
        <v>130</v>
      </c>
      <c r="B131" s="1">
        <v>53.14</v>
      </c>
      <c r="C131" s="1" t="s">
        <v>129</v>
      </c>
      <c r="D131" s="1" t="s">
        <v>128</v>
      </c>
      <c r="E131" s="1" t="s">
        <v>20</v>
      </c>
      <c r="F131" s="1">
        <v>10.24</v>
      </c>
      <c r="G131" s="1">
        <v>0.3</v>
      </c>
      <c r="H131" s="1">
        <v>5</v>
      </c>
      <c r="I131" s="1">
        <v>15.19</v>
      </c>
      <c r="J131" s="1" t="s">
        <v>5</v>
      </c>
      <c r="K131" s="1">
        <v>20000</v>
      </c>
      <c r="L131" s="1">
        <v>0</v>
      </c>
      <c r="M131" s="1" t="s">
        <v>127</v>
      </c>
      <c r="N131" s="1" t="s">
        <v>101</v>
      </c>
      <c r="O131" s="1" t="str">
        <f>LEFT(N131,4)</f>
        <v>2022</v>
      </c>
      <c r="P131" s="1" t="str">
        <f>MID(N131, LEN(N131)-4, 4)</f>
        <v>2025</v>
      </c>
      <c r="Q131" s="1" t="s">
        <v>126</v>
      </c>
      <c r="R131" s="1" t="str">
        <f>LEFT(Q131,4)</f>
        <v>2022</v>
      </c>
      <c r="S131" s="1" t="str">
        <f>MID(Q131, LEN(Q131)-4, 4)</f>
        <v>2042</v>
      </c>
      <c r="T131" s="1">
        <v>102406</v>
      </c>
      <c r="U131" s="1">
        <v>0</v>
      </c>
      <c r="V131" s="1">
        <v>50000</v>
      </c>
      <c r="W131" s="1">
        <v>0</v>
      </c>
      <c r="X131" s="1">
        <v>144778.45000000001</v>
      </c>
      <c r="Y131" s="1" t="s">
        <v>125</v>
      </c>
      <c r="Z131" s="1" t="s">
        <v>108</v>
      </c>
      <c r="AA131" s="1" t="s">
        <v>108</v>
      </c>
      <c r="AB131" s="1" t="s">
        <v>117</v>
      </c>
      <c r="AC131" s="1" t="s">
        <v>124</v>
      </c>
    </row>
    <row r="132" spans="1:29" s="1" customFormat="1" x14ac:dyDescent="0.25">
      <c r="A132" s="1" t="s">
        <v>123</v>
      </c>
      <c r="B132" s="1">
        <v>52.97</v>
      </c>
      <c r="C132" s="1" t="s">
        <v>122</v>
      </c>
      <c r="D132" s="1" t="s">
        <v>121</v>
      </c>
      <c r="E132" s="1" t="s">
        <v>20</v>
      </c>
      <c r="F132" s="1">
        <v>24.92</v>
      </c>
      <c r="H132" s="1">
        <v>16</v>
      </c>
      <c r="I132" s="1">
        <v>48.34</v>
      </c>
      <c r="J132" s="1" t="s">
        <v>5</v>
      </c>
      <c r="K132" s="1">
        <v>70000</v>
      </c>
      <c r="L132" s="1">
        <v>0</v>
      </c>
      <c r="M132" s="1" t="s">
        <v>120</v>
      </c>
      <c r="N132" s="1" t="s">
        <v>119</v>
      </c>
      <c r="O132" s="1" t="str">
        <f>LEFT(N132,4)</f>
        <v>2021</v>
      </c>
      <c r="P132" s="1" t="str">
        <f>MID(N132, LEN(N132)-4, 4)</f>
        <v>2024</v>
      </c>
      <c r="Q132" s="1" t="s">
        <v>118</v>
      </c>
      <c r="R132" s="1" t="str">
        <f>LEFT(Q132,4)</f>
        <v>2021</v>
      </c>
      <c r="S132" s="1" t="str">
        <f>MID(Q132, LEN(Q132)-4, 4)</f>
        <v>2039</v>
      </c>
      <c r="T132" s="1">
        <v>524134.40000000002</v>
      </c>
      <c r="U132" s="1">
        <v>184134.39999999999</v>
      </c>
      <c r="V132" s="1">
        <v>160000</v>
      </c>
      <c r="W132" s="1">
        <v>0</v>
      </c>
      <c r="X132" s="1">
        <v>425968.19</v>
      </c>
      <c r="Y132" s="1" t="s">
        <v>109</v>
      </c>
      <c r="Z132" s="1" t="s">
        <v>108</v>
      </c>
      <c r="AA132" s="1" t="s">
        <v>108</v>
      </c>
      <c r="AB132" s="1" t="s">
        <v>117</v>
      </c>
      <c r="AC132" s="1" t="s">
        <v>116</v>
      </c>
    </row>
    <row r="133" spans="1:29" s="1" customFormat="1" x14ac:dyDescent="0.25">
      <c r="A133" s="1" t="s">
        <v>115</v>
      </c>
      <c r="B133" s="1">
        <v>43.29</v>
      </c>
      <c r="C133" s="1" t="s">
        <v>114</v>
      </c>
      <c r="D133" s="1" t="s">
        <v>113</v>
      </c>
      <c r="E133" s="1" t="s">
        <v>20</v>
      </c>
      <c r="F133" s="1">
        <v>0.5</v>
      </c>
      <c r="G133" s="1">
        <v>0.1</v>
      </c>
      <c r="H133" s="1">
        <v>0.2</v>
      </c>
      <c r="I133" s="1">
        <v>0.69</v>
      </c>
      <c r="J133" s="1" t="s">
        <v>5</v>
      </c>
      <c r="K133" s="1">
        <v>2000</v>
      </c>
      <c r="L133" s="1">
        <v>0</v>
      </c>
      <c r="M133" s="1" t="s">
        <v>112</v>
      </c>
      <c r="N133" s="1" t="s">
        <v>111</v>
      </c>
      <c r="O133" s="1" t="str">
        <f>LEFT(N133,4)</f>
        <v>2022</v>
      </c>
      <c r="P133" s="1" t="str">
        <f>MID(N133, LEN(N133)-4, 4)</f>
        <v>2023</v>
      </c>
      <c r="Q133" s="1" t="s">
        <v>110</v>
      </c>
      <c r="R133" s="1" t="str">
        <f>LEFT(Q133,4)</f>
        <v>2022</v>
      </c>
      <c r="S133" s="1" t="str">
        <f>MID(Q133, LEN(Q133)-4, 4)</f>
        <v>2032</v>
      </c>
      <c r="T133" s="1">
        <v>5000</v>
      </c>
      <c r="U133" s="1">
        <v>0</v>
      </c>
      <c r="V133" s="1">
        <v>2000</v>
      </c>
      <c r="W133" s="1">
        <v>0</v>
      </c>
      <c r="X133" s="1">
        <v>3790</v>
      </c>
      <c r="Y133" s="1" t="s">
        <v>109</v>
      </c>
      <c r="Z133" s="1" t="s">
        <v>108</v>
      </c>
      <c r="AA133" s="1" t="s">
        <v>108</v>
      </c>
      <c r="AB133" s="1" t="s">
        <v>107</v>
      </c>
      <c r="AC133" s="1" t="s">
        <v>106</v>
      </c>
    </row>
    <row r="134" spans="1:29" s="1" customFormat="1" x14ac:dyDescent="0.25">
      <c r="A134" s="1" t="s">
        <v>92</v>
      </c>
      <c r="B134" s="1">
        <v>14.18</v>
      </c>
      <c r="C134" s="1" t="s">
        <v>105</v>
      </c>
      <c r="D134" s="1" t="s">
        <v>70</v>
      </c>
      <c r="E134" s="1" t="s">
        <v>69</v>
      </c>
      <c r="F134" s="1">
        <v>5.42</v>
      </c>
      <c r="H134" s="1" t="s">
        <v>104</v>
      </c>
      <c r="I134" s="1" t="s">
        <v>103</v>
      </c>
      <c r="J134" s="1" t="s">
        <v>5</v>
      </c>
      <c r="K134" s="1">
        <v>18000</v>
      </c>
      <c r="L134" s="1">
        <v>0</v>
      </c>
      <c r="M134" s="1" t="s">
        <v>102</v>
      </c>
      <c r="N134" s="1" t="s">
        <v>101</v>
      </c>
      <c r="O134" s="1" t="str">
        <f>LEFT(N134,4)</f>
        <v>2022</v>
      </c>
      <c r="P134" s="1" t="str">
        <f>MID(N134, LEN(N134)-4, 4)</f>
        <v>2025</v>
      </c>
      <c r="Q134" s="1" t="s">
        <v>100</v>
      </c>
      <c r="R134" s="1" t="str">
        <f>LEFT(Q134,4)</f>
        <v>2022</v>
      </c>
      <c r="S134" s="1" t="str">
        <f>MID(Q134, LEN(Q134)-4, 4)</f>
        <v>2040</v>
      </c>
      <c r="T134" s="1">
        <v>76335</v>
      </c>
      <c r="U134" s="1">
        <v>0</v>
      </c>
      <c r="V134" s="1">
        <v>34000</v>
      </c>
      <c r="W134" s="1">
        <v>0</v>
      </c>
      <c r="X134" s="1">
        <v>84350.29</v>
      </c>
      <c r="Y134" s="1" t="s">
        <v>1</v>
      </c>
      <c r="Z134" s="1" t="s">
        <v>0</v>
      </c>
      <c r="AA134" s="1" t="s">
        <v>0</v>
      </c>
      <c r="AB134" s="1" t="s">
        <v>51</v>
      </c>
    </row>
    <row r="135" spans="1:29" s="1" customFormat="1" x14ac:dyDescent="0.25">
      <c r="A135" s="1" t="s">
        <v>92</v>
      </c>
      <c r="B135" s="1">
        <v>14.18</v>
      </c>
      <c r="C135" s="1" t="s">
        <v>99</v>
      </c>
      <c r="D135" s="1" t="s">
        <v>70</v>
      </c>
      <c r="E135" s="1" t="s">
        <v>69</v>
      </c>
      <c r="F135" s="1" t="s">
        <v>98</v>
      </c>
      <c r="G135" s="1" t="s">
        <v>77</v>
      </c>
      <c r="H135" s="1" t="s">
        <v>97</v>
      </c>
      <c r="I135" s="1" t="s">
        <v>96</v>
      </c>
      <c r="J135" s="1" t="s">
        <v>5</v>
      </c>
      <c r="K135" s="1">
        <v>15000</v>
      </c>
      <c r="L135" s="1">
        <v>0</v>
      </c>
      <c r="M135" s="1" t="s">
        <v>95</v>
      </c>
      <c r="N135" s="1" t="s">
        <v>94</v>
      </c>
      <c r="O135" s="1" t="str">
        <f>LEFT(N135,4)</f>
        <v>2020</v>
      </c>
      <c r="P135" s="1" t="str">
        <f>MID(N135, LEN(N135)-4, 4)</f>
        <v>2024</v>
      </c>
      <c r="Q135" s="1" t="s">
        <v>93</v>
      </c>
      <c r="R135" s="1" t="str">
        <f>LEFT(Q135,4)</f>
        <v>2020</v>
      </c>
      <c r="S135" s="1" t="str">
        <f>MID(Q135, LEN(Q135)-4, 4)</f>
        <v>2039</v>
      </c>
      <c r="T135" s="1">
        <v>85900</v>
      </c>
      <c r="U135" s="1">
        <v>0</v>
      </c>
      <c r="V135" s="1">
        <v>63000</v>
      </c>
      <c r="W135" s="1">
        <v>0</v>
      </c>
      <c r="X135" s="1">
        <v>188881.17</v>
      </c>
      <c r="Y135" s="1" t="s">
        <v>1</v>
      </c>
      <c r="Z135" s="1" t="s">
        <v>0</v>
      </c>
      <c r="AA135" s="1" t="s">
        <v>0</v>
      </c>
      <c r="AB135" s="1" t="s">
        <v>51</v>
      </c>
    </row>
    <row r="136" spans="1:29" s="1" customFormat="1" x14ac:dyDescent="0.25">
      <c r="A136" s="1" t="s">
        <v>92</v>
      </c>
      <c r="B136" s="1">
        <v>14.18</v>
      </c>
      <c r="C136" s="1" t="s">
        <v>91</v>
      </c>
      <c r="D136" s="1" t="s">
        <v>90</v>
      </c>
      <c r="E136" s="1" t="s">
        <v>20</v>
      </c>
      <c r="F136" s="1" t="s">
        <v>45</v>
      </c>
      <c r="H136" s="1" t="s">
        <v>89</v>
      </c>
      <c r="I136" s="1">
        <v>3.42</v>
      </c>
      <c r="J136" s="1" t="s">
        <v>5</v>
      </c>
      <c r="K136" s="1">
        <v>7000</v>
      </c>
      <c r="L136" s="1">
        <v>0</v>
      </c>
      <c r="M136" s="1" t="s">
        <v>88</v>
      </c>
      <c r="N136" s="1" t="s">
        <v>87</v>
      </c>
      <c r="O136" s="1" t="str">
        <f>LEFT(N136,4)</f>
        <v>2023</v>
      </c>
      <c r="P136" s="1" t="str">
        <f>MID(N136, LEN(N136)-4, 4)</f>
        <v>2024</v>
      </c>
      <c r="Q136" s="1" t="s">
        <v>86</v>
      </c>
      <c r="R136" s="1" t="str">
        <f>LEFT(Q136,4)</f>
        <v>2023</v>
      </c>
      <c r="S136" s="1" t="str">
        <f>MID(Q136, LEN(Q136)-4, 4)</f>
        <v>2038</v>
      </c>
      <c r="T136" s="1">
        <v>13000</v>
      </c>
      <c r="U136" s="1">
        <v>0</v>
      </c>
      <c r="V136" s="1">
        <v>10000</v>
      </c>
      <c r="W136" s="1">
        <v>0</v>
      </c>
      <c r="X136" s="1">
        <v>21840.560000000001</v>
      </c>
      <c r="Y136" s="1" t="s">
        <v>1</v>
      </c>
      <c r="Z136" s="1" t="s">
        <v>0</v>
      </c>
      <c r="AA136" s="1" t="s">
        <v>0</v>
      </c>
      <c r="AB136" s="1" t="s">
        <v>16</v>
      </c>
      <c r="AC136" s="1" t="s">
        <v>85</v>
      </c>
    </row>
    <row r="137" spans="1:29" s="1" customFormat="1" x14ac:dyDescent="0.25">
      <c r="A137" s="1" t="s">
        <v>80</v>
      </c>
      <c r="B137" s="1">
        <v>203.81</v>
      </c>
      <c r="C137" s="1" t="s">
        <v>84</v>
      </c>
      <c r="D137" s="1" t="s">
        <v>78</v>
      </c>
      <c r="E137" s="1" t="s">
        <v>20</v>
      </c>
      <c r="F137" s="1" t="s">
        <v>83</v>
      </c>
      <c r="G137" s="1" t="s">
        <v>46</v>
      </c>
      <c r="H137" s="1" t="s">
        <v>32</v>
      </c>
      <c r="I137" s="1" t="s">
        <v>82</v>
      </c>
      <c r="J137" s="1" t="s">
        <v>5</v>
      </c>
      <c r="K137" s="1">
        <v>1000</v>
      </c>
      <c r="L137" s="1">
        <v>0</v>
      </c>
      <c r="M137" s="1" t="s">
        <v>81</v>
      </c>
      <c r="N137" s="1" t="s">
        <v>74</v>
      </c>
      <c r="O137" s="1" t="str">
        <f>LEFT(N137,4)</f>
        <v>2022</v>
      </c>
      <c r="P137" s="1" t="str">
        <f>MID(N137, LEN(N137)-4, 4)</f>
        <v>2024</v>
      </c>
      <c r="Q137" s="1" t="s">
        <v>73</v>
      </c>
      <c r="R137" s="1" t="str">
        <f>LEFT(Q137,4)</f>
        <v>2022</v>
      </c>
      <c r="S137" s="1" t="str">
        <f>MID(Q137, LEN(Q137)-4, 4)</f>
        <v>2037</v>
      </c>
      <c r="T137" s="1">
        <v>2400</v>
      </c>
      <c r="U137" s="1">
        <v>0</v>
      </c>
      <c r="V137" s="1">
        <v>1000</v>
      </c>
      <c r="W137" s="1">
        <v>0</v>
      </c>
      <c r="X137" s="1">
        <v>3330</v>
      </c>
      <c r="Y137" s="1" t="s">
        <v>1</v>
      </c>
      <c r="Z137" s="1" t="s">
        <v>0</v>
      </c>
      <c r="AA137" s="1" t="s">
        <v>0</v>
      </c>
      <c r="AB137" s="1" t="s">
        <v>36</v>
      </c>
      <c r="AC137" s="1" t="s">
        <v>72</v>
      </c>
    </row>
    <row r="138" spans="1:29" s="1" customFormat="1" x14ac:dyDescent="0.25">
      <c r="A138" s="1" t="s">
        <v>80</v>
      </c>
      <c r="B138" s="1">
        <v>203.81</v>
      </c>
      <c r="C138" s="1" t="s">
        <v>79</v>
      </c>
      <c r="D138" s="1" t="s">
        <v>78</v>
      </c>
      <c r="E138" s="1" t="s">
        <v>20</v>
      </c>
      <c r="F138" s="1" t="s">
        <v>77</v>
      </c>
      <c r="G138" s="1" t="s">
        <v>76</v>
      </c>
      <c r="H138" s="1" t="s">
        <v>32</v>
      </c>
      <c r="I138" s="1">
        <v>0.43</v>
      </c>
      <c r="J138" s="1" t="s">
        <v>5</v>
      </c>
      <c r="K138" s="1">
        <v>1000</v>
      </c>
      <c r="L138" s="1">
        <v>0</v>
      </c>
      <c r="M138" s="1" t="s">
        <v>75</v>
      </c>
      <c r="N138" s="1" t="s">
        <v>74</v>
      </c>
      <c r="O138" s="1" t="str">
        <f>LEFT(N138,4)</f>
        <v>2022</v>
      </c>
      <c r="P138" s="1" t="str">
        <f>MID(N138, LEN(N138)-4, 4)</f>
        <v>2024</v>
      </c>
      <c r="Q138" s="1" t="s">
        <v>73</v>
      </c>
      <c r="R138" s="1" t="str">
        <f>LEFT(Q138,4)</f>
        <v>2022</v>
      </c>
      <c r="S138" s="1" t="str">
        <f>MID(Q138, LEN(Q138)-4, 4)</f>
        <v>2037</v>
      </c>
      <c r="T138" s="1">
        <v>1500</v>
      </c>
      <c r="U138" s="1">
        <v>0</v>
      </c>
      <c r="V138" s="1">
        <v>1000</v>
      </c>
      <c r="W138" s="1">
        <v>0</v>
      </c>
      <c r="X138" s="1">
        <v>3390</v>
      </c>
      <c r="Y138" s="1" t="s">
        <v>1</v>
      </c>
      <c r="Z138" s="1" t="s">
        <v>0</v>
      </c>
      <c r="AA138" s="1" t="s">
        <v>0</v>
      </c>
      <c r="AB138" s="1" t="s">
        <v>36</v>
      </c>
      <c r="AC138" s="1" t="s">
        <v>72</v>
      </c>
    </row>
    <row r="139" spans="1:29" s="1" customFormat="1" x14ac:dyDescent="0.25">
      <c r="A139" s="1" t="s">
        <v>13</v>
      </c>
      <c r="B139" s="1">
        <v>228.82</v>
      </c>
      <c r="C139" s="1" t="s">
        <v>71</v>
      </c>
      <c r="D139" s="1" t="s">
        <v>70</v>
      </c>
      <c r="E139" s="1" t="s">
        <v>69</v>
      </c>
      <c r="F139" s="1" t="s">
        <v>68</v>
      </c>
      <c r="G139" s="1" t="s">
        <v>67</v>
      </c>
      <c r="H139" s="1" t="s">
        <v>66</v>
      </c>
      <c r="I139" s="1" t="s">
        <v>65</v>
      </c>
      <c r="J139" s="1" t="s">
        <v>5</v>
      </c>
      <c r="K139" s="1">
        <v>21000</v>
      </c>
      <c r="L139" s="1">
        <v>0</v>
      </c>
      <c r="M139" s="1" t="s">
        <v>64</v>
      </c>
      <c r="N139" s="1" t="s">
        <v>63</v>
      </c>
      <c r="O139" s="1" t="str">
        <f>LEFT(N139,4)</f>
        <v>2022</v>
      </c>
      <c r="P139" s="1" t="str">
        <f>MID(N139, LEN(N139)-4, 4)</f>
        <v>2026</v>
      </c>
      <c r="Q139" s="1" t="s">
        <v>62</v>
      </c>
      <c r="R139" s="1" t="str">
        <f>LEFT(Q139,4)</f>
        <v>2022</v>
      </c>
      <c r="S139" s="1" t="str">
        <f>MID(Q139, LEN(Q139)-4, 4)</f>
        <v>2036</v>
      </c>
      <c r="T139" s="1">
        <v>100625</v>
      </c>
      <c r="U139" s="1">
        <v>0</v>
      </c>
      <c r="V139" s="1">
        <v>80000</v>
      </c>
      <c r="W139" s="1">
        <v>0</v>
      </c>
      <c r="X139" s="1">
        <v>174353.05</v>
      </c>
      <c r="Y139" s="1" t="s">
        <v>1</v>
      </c>
      <c r="Z139" s="1" t="s">
        <v>0</v>
      </c>
      <c r="AA139" s="1" t="s">
        <v>0</v>
      </c>
      <c r="AB139" s="1" t="s">
        <v>51</v>
      </c>
      <c r="AC139" s="1" t="s">
        <v>61</v>
      </c>
    </row>
    <row r="140" spans="1:29" s="1" customFormat="1" x14ac:dyDescent="0.25">
      <c r="A140" s="1" t="s">
        <v>60</v>
      </c>
      <c r="B140" s="1">
        <v>7.09</v>
      </c>
      <c r="C140" s="1" t="s">
        <v>58</v>
      </c>
      <c r="D140" s="1" t="s">
        <v>57</v>
      </c>
      <c r="E140" s="1" t="s">
        <v>20</v>
      </c>
      <c r="F140" s="1" t="s">
        <v>56</v>
      </c>
      <c r="H140" s="1" t="s">
        <v>55</v>
      </c>
      <c r="I140" s="1">
        <v>8.86</v>
      </c>
      <c r="J140" s="1" t="s">
        <v>5</v>
      </c>
      <c r="K140" s="1">
        <v>5000</v>
      </c>
      <c r="L140" s="1">
        <v>0</v>
      </c>
      <c r="M140" s="1" t="s">
        <v>54</v>
      </c>
      <c r="N140" s="1" t="s">
        <v>53</v>
      </c>
      <c r="O140" s="1" t="str">
        <f>LEFT(N140,4)</f>
        <v>2023</v>
      </c>
      <c r="P140" s="1" t="str">
        <f>MID(N140, LEN(N140)-4, 4)</f>
        <v>2025</v>
      </c>
      <c r="Q140" s="1" t="s">
        <v>52</v>
      </c>
      <c r="R140" s="1" t="str">
        <f>LEFT(Q140,4)</f>
        <v>2023</v>
      </c>
      <c r="S140" s="1" t="str">
        <f>MID(Q140, LEN(Q140)-4, 4)</f>
        <v>2036</v>
      </c>
      <c r="T140" s="1">
        <v>45000</v>
      </c>
      <c r="U140" s="1">
        <v>0</v>
      </c>
      <c r="V140" s="1">
        <v>30000</v>
      </c>
      <c r="W140" s="1">
        <v>0</v>
      </c>
      <c r="X140" s="1">
        <v>66623.710000000006</v>
      </c>
      <c r="Y140" s="1" t="s">
        <v>1</v>
      </c>
      <c r="Z140" s="1" t="s">
        <v>0</v>
      </c>
      <c r="AA140" s="1" t="s">
        <v>0</v>
      </c>
      <c r="AB140" s="1" t="s">
        <v>51</v>
      </c>
      <c r="AC140" s="1" t="s">
        <v>50</v>
      </c>
    </row>
    <row r="141" spans="1:29" s="1" customFormat="1" x14ac:dyDescent="0.25">
      <c r="A141" s="1" t="s">
        <v>59</v>
      </c>
      <c r="B141" s="1">
        <v>29.61</v>
      </c>
      <c r="C141" s="1" t="s">
        <v>58</v>
      </c>
      <c r="D141" s="1" t="s">
        <v>57</v>
      </c>
      <c r="E141" s="1" t="s">
        <v>20</v>
      </c>
      <c r="F141" s="1" t="s">
        <v>56</v>
      </c>
      <c r="H141" s="1" t="s">
        <v>55</v>
      </c>
      <c r="I141" s="1">
        <v>8.86</v>
      </c>
      <c r="J141" s="1" t="s">
        <v>5</v>
      </c>
      <c r="K141" s="1">
        <v>15000</v>
      </c>
      <c r="L141" s="1">
        <v>0</v>
      </c>
      <c r="M141" s="1" t="s">
        <v>54</v>
      </c>
      <c r="N141" s="1" t="s">
        <v>53</v>
      </c>
      <c r="O141" s="1" t="str">
        <f>LEFT(N141,4)</f>
        <v>2023</v>
      </c>
      <c r="P141" s="1" t="str">
        <f>MID(N141, LEN(N141)-4, 4)</f>
        <v>2025</v>
      </c>
      <c r="Q141" s="1" t="s">
        <v>52</v>
      </c>
      <c r="R141" s="1" t="str">
        <f>LEFT(Q141,4)</f>
        <v>2023</v>
      </c>
      <c r="S141" s="1" t="str">
        <f>MID(Q141, LEN(Q141)-4, 4)</f>
        <v>2036</v>
      </c>
      <c r="T141" s="1">
        <v>45000</v>
      </c>
      <c r="U141" s="1">
        <v>0</v>
      </c>
      <c r="V141" s="1">
        <v>30000</v>
      </c>
      <c r="W141" s="1">
        <v>0</v>
      </c>
      <c r="X141" s="1">
        <v>66623.710000000006</v>
      </c>
      <c r="Y141" s="1" t="s">
        <v>1</v>
      </c>
      <c r="Z141" s="1" t="s">
        <v>0</v>
      </c>
      <c r="AA141" s="1" t="s">
        <v>0</v>
      </c>
      <c r="AB141" s="1" t="s">
        <v>51</v>
      </c>
      <c r="AC141" s="1" t="s">
        <v>50</v>
      </c>
    </row>
    <row r="142" spans="1:29" s="1" customFormat="1" x14ac:dyDescent="0.25">
      <c r="A142" s="1" t="s">
        <v>49</v>
      </c>
      <c r="B142" s="1">
        <v>6.58</v>
      </c>
      <c r="C142" s="1" t="s">
        <v>48</v>
      </c>
      <c r="D142" s="1" t="s">
        <v>47</v>
      </c>
      <c r="E142" s="1" t="s">
        <v>20</v>
      </c>
      <c r="F142" s="1">
        <v>1.44</v>
      </c>
      <c r="G142" s="1" t="s">
        <v>46</v>
      </c>
      <c r="H142" s="1" t="s">
        <v>45</v>
      </c>
      <c r="I142" s="1" t="s">
        <v>44</v>
      </c>
      <c r="J142" s="1" t="s">
        <v>5</v>
      </c>
      <c r="K142" s="1">
        <v>5000</v>
      </c>
      <c r="L142" s="1">
        <v>0</v>
      </c>
      <c r="M142" s="1" t="s">
        <v>43</v>
      </c>
      <c r="N142" s="1" t="s">
        <v>37</v>
      </c>
      <c r="O142" s="1" t="str">
        <f>LEFT(N142,4)</f>
        <v>2024</v>
      </c>
      <c r="P142" s="1" t="str">
        <f>MID(N142, LEN(N142)-4, 4)</f>
        <v>2025</v>
      </c>
      <c r="Q142" s="1" t="s">
        <v>2</v>
      </c>
      <c r="R142" s="1" t="str">
        <f>LEFT(Q142,4)</f>
        <v>2024</v>
      </c>
      <c r="S142" s="1" t="str">
        <f>MID(Q142, LEN(Q142)-4, 4)</f>
        <v>2034</v>
      </c>
      <c r="T142" s="1">
        <v>37522</v>
      </c>
      <c r="U142" s="1">
        <v>0</v>
      </c>
      <c r="V142" s="1">
        <v>28000</v>
      </c>
      <c r="W142" s="1">
        <v>0</v>
      </c>
      <c r="X142" s="1">
        <v>87715.34</v>
      </c>
      <c r="Y142" s="1" t="s">
        <v>1</v>
      </c>
      <c r="Z142" s="1" t="s">
        <v>0</v>
      </c>
      <c r="AA142" s="1" t="s">
        <v>0</v>
      </c>
      <c r="AB142" s="1" t="s">
        <v>29</v>
      </c>
    </row>
    <row r="143" spans="1:29" s="1" customFormat="1" x14ac:dyDescent="0.25">
      <c r="A143" s="1" t="s">
        <v>42</v>
      </c>
      <c r="B143" s="1">
        <v>2.7</v>
      </c>
      <c r="C143" s="1" t="s">
        <v>41</v>
      </c>
      <c r="D143" s="1" t="s">
        <v>40</v>
      </c>
      <c r="E143" s="1" t="s">
        <v>20</v>
      </c>
      <c r="F143" s="1" t="s">
        <v>25</v>
      </c>
      <c r="H143" s="1">
        <v>0.8</v>
      </c>
      <c r="I143" s="1" t="s">
        <v>39</v>
      </c>
      <c r="J143" s="1" t="s">
        <v>5</v>
      </c>
      <c r="K143" s="1">
        <v>8000</v>
      </c>
      <c r="L143" s="1">
        <v>0</v>
      </c>
      <c r="M143" s="1" t="s">
        <v>38</v>
      </c>
      <c r="N143" s="1" t="s">
        <v>37</v>
      </c>
      <c r="O143" s="1" t="str">
        <f>LEFT(N143,4)</f>
        <v>2024</v>
      </c>
      <c r="P143" s="1" t="str">
        <f>MID(N143, LEN(N143)-4, 4)</f>
        <v>2025</v>
      </c>
      <c r="Q143" s="1" t="s">
        <v>2</v>
      </c>
      <c r="R143" s="1" t="str">
        <f>LEFT(Q143,4)</f>
        <v>2024</v>
      </c>
      <c r="S143" s="1" t="str">
        <f>MID(Q143, LEN(Q143)-4, 4)</f>
        <v>2034</v>
      </c>
      <c r="T143" s="1">
        <v>12000</v>
      </c>
      <c r="U143" s="1">
        <v>0</v>
      </c>
      <c r="V143" s="1">
        <v>8000</v>
      </c>
      <c r="W143" s="1">
        <v>0</v>
      </c>
      <c r="X143" s="1">
        <v>18974.97</v>
      </c>
      <c r="Y143" s="1" t="s">
        <v>1</v>
      </c>
      <c r="Z143" s="1" t="s">
        <v>0</v>
      </c>
      <c r="AA143" s="1" t="s">
        <v>0</v>
      </c>
      <c r="AB143" s="1" t="s">
        <v>36</v>
      </c>
      <c r="AC143" s="1" t="s">
        <v>35</v>
      </c>
    </row>
    <row r="144" spans="1:29" s="1" customFormat="1" x14ac:dyDescent="0.25">
      <c r="A144" s="1" t="s">
        <v>13</v>
      </c>
      <c r="B144" s="1">
        <v>228.82</v>
      </c>
      <c r="C144" s="1" t="s">
        <v>34</v>
      </c>
      <c r="D144" s="1" t="s">
        <v>33</v>
      </c>
      <c r="E144" s="1" t="s">
        <v>20</v>
      </c>
      <c r="F144" s="1">
        <v>0.4</v>
      </c>
      <c r="G144" s="1" t="s">
        <v>32</v>
      </c>
      <c r="H144" s="1" t="s">
        <v>31</v>
      </c>
      <c r="I144" s="1">
        <v>0.88</v>
      </c>
      <c r="J144" s="1" t="s">
        <v>5</v>
      </c>
      <c r="K144" s="1">
        <v>3000</v>
      </c>
      <c r="L144" s="1">
        <v>0</v>
      </c>
      <c r="M144" s="1" t="s">
        <v>30</v>
      </c>
      <c r="N144" s="1" t="s">
        <v>3</v>
      </c>
      <c r="O144" s="1" t="str">
        <f>LEFT(N144,4)</f>
        <v>2024</v>
      </c>
      <c r="P144" s="1" t="str">
        <f>MID(N144, LEN(N144)-4, 4)</f>
        <v>2024</v>
      </c>
      <c r="Q144" s="1" t="s">
        <v>2</v>
      </c>
      <c r="R144" s="1" t="str">
        <f>LEFT(Q144,4)</f>
        <v>2024</v>
      </c>
      <c r="S144" s="1" t="str">
        <f>MID(Q144, LEN(Q144)-4, 4)</f>
        <v>2034</v>
      </c>
      <c r="T144" s="1">
        <v>4000</v>
      </c>
      <c r="U144" s="1">
        <v>0</v>
      </c>
      <c r="V144" s="1">
        <v>3000</v>
      </c>
      <c r="W144" s="1">
        <v>0</v>
      </c>
      <c r="X144" s="1">
        <v>6648.42</v>
      </c>
      <c r="Y144" s="1" t="s">
        <v>1</v>
      </c>
      <c r="Z144" s="1" t="s">
        <v>0</v>
      </c>
      <c r="AA144" s="1" t="s">
        <v>0</v>
      </c>
      <c r="AB144" s="1" t="s">
        <v>29</v>
      </c>
      <c r="AC144" s="1" t="s">
        <v>28</v>
      </c>
    </row>
    <row r="145" spans="1:29" s="1" customFormat="1" x14ac:dyDescent="0.25">
      <c r="A145" s="1" t="s">
        <v>14</v>
      </c>
      <c r="B145" s="1">
        <v>15.14</v>
      </c>
      <c r="C145" s="1" t="s">
        <v>27</v>
      </c>
      <c r="D145" s="1" t="s">
        <v>21</v>
      </c>
      <c r="E145" s="1" t="s">
        <v>20</v>
      </c>
      <c r="F145" s="1" t="s">
        <v>26</v>
      </c>
      <c r="H145" s="1" t="s">
        <v>25</v>
      </c>
      <c r="I145" s="1" t="s">
        <v>24</v>
      </c>
      <c r="J145" s="1" t="s">
        <v>5</v>
      </c>
      <c r="K145" s="1">
        <v>6000</v>
      </c>
      <c r="L145" s="1">
        <v>0</v>
      </c>
      <c r="M145" s="1" t="s">
        <v>23</v>
      </c>
      <c r="N145" s="1" t="s">
        <v>3</v>
      </c>
      <c r="O145" s="1" t="str">
        <f>LEFT(N145,4)</f>
        <v>2024</v>
      </c>
      <c r="P145" s="1" t="str">
        <f>MID(N145, LEN(N145)-4, 4)</f>
        <v>2024</v>
      </c>
      <c r="Q145" s="1" t="s">
        <v>2</v>
      </c>
      <c r="R145" s="1" t="str">
        <f>LEFT(Q145,4)</f>
        <v>2024</v>
      </c>
      <c r="S145" s="1" t="str">
        <f>MID(Q145, LEN(Q145)-4, 4)</f>
        <v>2034</v>
      </c>
      <c r="T145" s="1">
        <v>16000</v>
      </c>
      <c r="U145" s="1">
        <v>0</v>
      </c>
      <c r="V145" s="1">
        <v>12000</v>
      </c>
      <c r="W145" s="1">
        <v>0</v>
      </c>
      <c r="X145" s="1">
        <v>28284.48</v>
      </c>
      <c r="Y145" s="1" t="s">
        <v>1</v>
      </c>
      <c r="Z145" s="1" t="s">
        <v>0</v>
      </c>
      <c r="AA145" s="1" t="s">
        <v>0</v>
      </c>
      <c r="AB145" s="1" t="s">
        <v>16</v>
      </c>
      <c r="AC145" s="1" t="s">
        <v>15</v>
      </c>
    </row>
    <row r="146" spans="1:29" s="1" customFormat="1" x14ac:dyDescent="0.25">
      <c r="A146" s="1" t="s">
        <v>13</v>
      </c>
      <c r="B146" s="1">
        <v>228.82</v>
      </c>
      <c r="C146" s="1" t="s">
        <v>27</v>
      </c>
      <c r="D146" s="1" t="s">
        <v>21</v>
      </c>
      <c r="E146" s="1" t="s">
        <v>20</v>
      </c>
      <c r="F146" s="1" t="s">
        <v>26</v>
      </c>
      <c r="H146" s="1" t="s">
        <v>25</v>
      </c>
      <c r="I146" s="1" t="s">
        <v>24</v>
      </c>
      <c r="J146" s="1" t="s">
        <v>5</v>
      </c>
      <c r="K146" s="1">
        <v>6000</v>
      </c>
      <c r="L146" s="1">
        <v>0</v>
      </c>
      <c r="M146" s="1" t="s">
        <v>23</v>
      </c>
      <c r="N146" s="1" t="s">
        <v>3</v>
      </c>
      <c r="O146" s="1" t="str">
        <f>LEFT(N146,4)</f>
        <v>2024</v>
      </c>
      <c r="P146" s="1" t="str">
        <f>MID(N146, LEN(N146)-4, 4)</f>
        <v>2024</v>
      </c>
      <c r="Q146" s="1" t="s">
        <v>2</v>
      </c>
      <c r="R146" s="1" t="str">
        <f>LEFT(Q146,4)</f>
        <v>2024</v>
      </c>
      <c r="S146" s="1" t="str">
        <f>MID(Q146, LEN(Q146)-4, 4)</f>
        <v>2034</v>
      </c>
      <c r="T146" s="1">
        <v>16000</v>
      </c>
      <c r="U146" s="1">
        <v>0</v>
      </c>
      <c r="V146" s="1">
        <v>12000</v>
      </c>
      <c r="W146" s="1">
        <v>0</v>
      </c>
      <c r="X146" s="1">
        <v>28284.48</v>
      </c>
      <c r="Y146" s="1" t="s">
        <v>1</v>
      </c>
      <c r="Z146" s="1" t="s">
        <v>0</v>
      </c>
      <c r="AA146" s="1" t="s">
        <v>0</v>
      </c>
      <c r="AB146" s="1" t="s">
        <v>16</v>
      </c>
      <c r="AC146" s="1" t="s">
        <v>15</v>
      </c>
    </row>
    <row r="147" spans="1:29" s="1" customFormat="1" x14ac:dyDescent="0.25">
      <c r="A147" s="1" t="s">
        <v>14</v>
      </c>
      <c r="B147" s="1">
        <v>15.14</v>
      </c>
      <c r="C147" s="1" t="s">
        <v>22</v>
      </c>
      <c r="D147" s="1" t="s">
        <v>21</v>
      </c>
      <c r="E147" s="1" t="s">
        <v>20</v>
      </c>
      <c r="F147" s="1">
        <v>2.4</v>
      </c>
      <c r="H147" s="1" t="s">
        <v>19</v>
      </c>
      <c r="I147" s="1" t="s">
        <v>18</v>
      </c>
      <c r="J147" s="1" t="s">
        <v>5</v>
      </c>
      <c r="K147" s="1">
        <v>19000</v>
      </c>
      <c r="L147" s="1">
        <v>0</v>
      </c>
      <c r="M147" s="1" t="s">
        <v>17</v>
      </c>
      <c r="N147" s="1" t="s">
        <v>3</v>
      </c>
      <c r="O147" s="1" t="str">
        <f>LEFT(N147,4)</f>
        <v>2024</v>
      </c>
      <c r="P147" s="1" t="str">
        <f>MID(N147, LEN(N147)-4, 4)</f>
        <v>2024</v>
      </c>
      <c r="Q147" s="1" t="s">
        <v>2</v>
      </c>
      <c r="R147" s="1" t="str">
        <f>LEFT(Q147,4)</f>
        <v>2024</v>
      </c>
      <c r="S147" s="1" t="str">
        <f>MID(Q147, LEN(Q147)-4, 4)</f>
        <v>2034</v>
      </c>
      <c r="T147" s="1">
        <v>24000</v>
      </c>
      <c r="U147" s="1">
        <v>0</v>
      </c>
      <c r="V147" s="1">
        <v>19000</v>
      </c>
      <c r="W147" s="1">
        <v>0</v>
      </c>
      <c r="X147" s="1">
        <v>344338.11</v>
      </c>
      <c r="Y147" s="1" t="s">
        <v>1</v>
      </c>
      <c r="Z147" s="1" t="s">
        <v>0</v>
      </c>
      <c r="AA147" s="1" t="s">
        <v>0</v>
      </c>
      <c r="AB147" s="1" t="s">
        <v>16</v>
      </c>
      <c r="AC147" s="1" t="s">
        <v>15</v>
      </c>
    </row>
    <row r="148" spans="1:29" s="1" customFormat="1" x14ac:dyDescent="0.25">
      <c r="A148" s="1" t="s">
        <v>14</v>
      </c>
      <c r="B148" s="1">
        <v>15.14</v>
      </c>
      <c r="C148" s="1" t="s">
        <v>12</v>
      </c>
      <c r="D148" s="1" t="s">
        <v>11</v>
      </c>
      <c r="E148" s="1" t="s">
        <v>10</v>
      </c>
      <c r="F148" s="1" t="s">
        <v>9</v>
      </c>
      <c r="G148" s="1" t="s">
        <v>8</v>
      </c>
      <c r="H148" s="1" t="s">
        <v>7</v>
      </c>
      <c r="I148" s="1" t="s">
        <v>6</v>
      </c>
      <c r="J148" s="1" t="s">
        <v>5</v>
      </c>
      <c r="K148" s="1">
        <v>5000</v>
      </c>
      <c r="L148" s="1">
        <v>0</v>
      </c>
      <c r="M148" s="1" t="s">
        <v>4</v>
      </c>
      <c r="N148" s="1" t="s">
        <v>3</v>
      </c>
      <c r="O148" s="1" t="str">
        <f>LEFT(N148,4)</f>
        <v>2024</v>
      </c>
      <c r="P148" s="1" t="str">
        <f>MID(N148, LEN(N148)-4, 4)</f>
        <v>2024</v>
      </c>
      <c r="Q148" s="1" t="s">
        <v>2</v>
      </c>
      <c r="R148" s="1" t="str">
        <f>LEFT(Q148,4)</f>
        <v>2024</v>
      </c>
      <c r="S148" s="1" t="str">
        <f>MID(Q148, LEN(Q148)-4, 4)</f>
        <v>2034</v>
      </c>
      <c r="T148" s="1">
        <v>9000</v>
      </c>
      <c r="U148" s="1">
        <v>0</v>
      </c>
      <c r="V148" s="1">
        <v>7000</v>
      </c>
      <c r="W148" s="1">
        <v>0</v>
      </c>
      <c r="X148" s="1">
        <v>15280.11</v>
      </c>
      <c r="Y148" s="1" t="s">
        <v>1</v>
      </c>
      <c r="Z148" s="1" t="s">
        <v>0</v>
      </c>
      <c r="AA148" s="1" t="s">
        <v>0</v>
      </c>
    </row>
    <row r="149" spans="1:29" s="1" customFormat="1" x14ac:dyDescent="0.25">
      <c r="A149" s="1" t="s">
        <v>13</v>
      </c>
      <c r="B149" s="1">
        <v>228.82</v>
      </c>
      <c r="C149" s="1" t="s">
        <v>12</v>
      </c>
      <c r="D149" s="1" t="s">
        <v>11</v>
      </c>
      <c r="E149" s="1" t="s">
        <v>10</v>
      </c>
      <c r="F149" s="1" t="s">
        <v>9</v>
      </c>
      <c r="G149" s="1" t="s">
        <v>8</v>
      </c>
      <c r="H149" s="1" t="s">
        <v>7</v>
      </c>
      <c r="I149" s="1" t="s">
        <v>6</v>
      </c>
      <c r="J149" s="1" t="s">
        <v>5</v>
      </c>
      <c r="K149" s="1">
        <v>2000</v>
      </c>
      <c r="L149" s="1">
        <v>0</v>
      </c>
      <c r="M149" s="1" t="s">
        <v>4</v>
      </c>
      <c r="N149" s="1" t="s">
        <v>3</v>
      </c>
      <c r="O149" s="1" t="str">
        <f>LEFT(N149,4)</f>
        <v>2024</v>
      </c>
      <c r="P149" s="1" t="str">
        <f>MID(N149, LEN(N149)-4, 4)</f>
        <v>2024</v>
      </c>
      <c r="Q149" s="1" t="s">
        <v>2</v>
      </c>
      <c r="R149" s="1" t="str">
        <f>LEFT(Q149,4)</f>
        <v>2024</v>
      </c>
      <c r="S149" s="1" t="str">
        <f>MID(Q149, LEN(Q149)-4, 4)</f>
        <v>2034</v>
      </c>
      <c r="T149" s="1">
        <v>9000</v>
      </c>
      <c r="U149" s="1">
        <v>0</v>
      </c>
      <c r="V149" s="1">
        <v>7000</v>
      </c>
      <c r="W149" s="1">
        <v>0</v>
      </c>
      <c r="X149" s="1">
        <v>15280.11</v>
      </c>
      <c r="Y149" s="1" t="s">
        <v>1</v>
      </c>
      <c r="Z149" s="1" t="s">
        <v>0</v>
      </c>
      <c r="AA149" s="1" t="s">
        <v>0</v>
      </c>
    </row>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4" x14ac:dyDescent="0.25"/>
  <sheetData/>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4" x14ac:dyDescent="0.25"/>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大大大怪</dc:creator>
  <cp:lastModifiedBy>怪 大大大</cp:lastModifiedBy>
  <dcterms:created xsi:type="dcterms:W3CDTF">2023-05-12T11:15:00Z</dcterms:created>
  <dcterms:modified xsi:type="dcterms:W3CDTF">2026-01-16T04:22:10Z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